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n1-12Global Boo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<sst xmlns="http://schemas.openxmlformats.org/spreadsheetml/2006/main" count="528" uniqueCount="306">
  <si>
    <t xml:space="preserve">Segment</t>
  </si>
  <si>
    <t xml:space="preserve">Plot</t>
  </si>
  <si>
    <t xml:space="preserve">Link</t>
  </si>
  <si>
    <t xml:space="preserve">Tags</t>
  </si>
  <si>
    <t xml:space="preserve">Length</t>
  </si>
  <si>
    <t xml:space="preserve">cit_IVM1</t>
  </si>
  <si>
    <t xml:space="preserve">cit_IVM2</t>
  </si>
  <si>
    <t xml:space="preserve">cit_IVM3</t>
  </si>
  <si>
    <t xml:space="preserve">^IVM1^</t>
  </si>
  <si>
    <t xml:space="preserve">^IVM2^</t>
  </si>
  <si>
    <t xml:space="preserve">^IVM3^</t>
  </si>
  <si>
    <t xml:space="preserve">^IVM^</t>
  </si>
  <si>
    <t xml:space="preserve">Ser</t>
  </si>
  <si>
    <t xml:space="preserve">^Co^</t>
  </si>
  <si>
    <t xml:space="preserve">DS</t>
  </si>
  <si>
    <t xml:space="preserve">TCD</t>
  </si>
  <si>
    <t xml:space="preserve">^sV^</t>
  </si>
  <si>
    <t xml:space="preserve">^Fulg^</t>
  </si>
  <si>
    <t xml:space="preserve">^BS^</t>
  </si>
  <si>
    <t xml:space="preserve">^AnsBNL^</t>
  </si>
  <si>
    <t xml:space="preserve">^AnsPr^</t>
  </si>
  <si>
    <t xml:space="preserve">GdV</t>
  </si>
  <si>
    <t xml:space="preserve">Zon</t>
  </si>
  <si>
    <t xml:space="preserve">^Bero^</t>
  </si>
  <si>
    <t xml:space="preserve">Pom</t>
  </si>
  <si>
    <t xml:space="preserve">Leo</t>
  </si>
  <si>
    <t xml:space="preserve">Lan</t>
  </si>
  <si>
    <t xml:space="preserve">^TCDLand1^</t>
  </si>
  <si>
    <t xml:space="preserve">^TCDLand2^</t>
  </si>
  <si>
    <t xml:space="preserve">^MiscDC^</t>
  </si>
  <si>
    <t xml:space="preserve">Bad</t>
  </si>
  <si>
    <t xml:space="preserve">Cam</t>
  </si>
  <si>
    <t xml:space="preserve">^Bra^</t>
  </si>
  <si>
    <t xml:space="preserve">^Sul^</t>
  </si>
  <si>
    <t xml:space="preserve">Sct</t>
  </si>
  <si>
    <t xml:space="preserve">^MiscBon^</t>
  </si>
  <si>
    <t xml:space="preserve">^MiscCos^</t>
  </si>
  <si>
    <t xml:space="preserve">^MiscRho^</t>
  </si>
  <si>
    <t xml:space="preserve">^Val^</t>
  </si>
  <si>
    <t xml:space="preserve">^MiscDel^</t>
  </si>
  <si>
    <t xml:space="preserve">^MiscScoe^</t>
  </si>
  <si>
    <t xml:space="preserve">Mel</t>
  </si>
  <si>
    <t xml:space="preserve">^Era^</t>
  </si>
  <si>
    <t xml:space="preserve">Ery</t>
  </si>
  <si>
    <t xml:space="preserve">^MiscScop^</t>
  </si>
  <si>
    <t xml:space="preserve">Bch</t>
  </si>
  <si>
    <t xml:space="preserve">^Hrt^</t>
  </si>
  <si>
    <t xml:space="preserve">Man</t>
  </si>
  <si>
    <t xml:space="preserve">^Ho1^</t>
  </si>
  <si>
    <t xml:space="preserve">^Ho2^</t>
  </si>
  <si>
    <t xml:space="preserve">^Sca^</t>
  </si>
  <si>
    <t xml:space="preserve">^Ors^</t>
  </si>
  <si>
    <t xml:space="preserve">^Gue^</t>
  </si>
  <si>
    <t xml:space="preserve">^MiscMod^</t>
  </si>
  <si>
    <t xml:space="preserve">Est</t>
  </si>
  <si>
    <t xml:space="preserve">Mey</t>
  </si>
  <si>
    <t xml:space="preserve">^Nas^</t>
  </si>
  <si>
    <t xml:space="preserve">Bers</t>
  </si>
  <si>
    <t xml:space="preserve">^Sgl^</t>
  </si>
  <si>
    <t xml:space="preserve">^MiscPao^</t>
  </si>
  <si>
    <t xml:space="preserve">Pon</t>
  </si>
  <si>
    <t xml:space="preserve">Cer</t>
  </si>
  <si>
    <t xml:space="preserve">Tau</t>
  </si>
  <si>
    <t xml:space="preserve">Abr</t>
  </si>
  <si>
    <t xml:space="preserve">Far</t>
  </si>
  <si>
    <t xml:space="preserve">Min</t>
  </si>
  <si>
    <t xml:space="preserve">Sch</t>
  </si>
  <si>
    <t xml:space="preserve">Mat</t>
  </si>
  <si>
    <t xml:space="preserve">Rue</t>
  </si>
  <si>
    <t xml:space="preserve">^MiscWill^</t>
  </si>
  <si>
    <t xml:space="preserve">Jck</t>
  </si>
  <si>
    <t xml:space="preserve">Kgl</t>
  </si>
  <si>
    <t xml:space="preserve">Coo</t>
  </si>
  <si>
    <t xml:space="preserve">HB</t>
  </si>
  <si>
    <t xml:space="preserve">^Hex^</t>
  </si>
  <si>
    <t xml:space="preserve">^H1^</t>
  </si>
  <si>
    <t xml:space="preserve">^H2^</t>
  </si>
  <si>
    <t xml:space="preserve">H3</t>
  </si>
  <si>
    <t xml:space="preserve">HW</t>
  </si>
  <si>
    <t xml:space="preserve">For</t>
  </si>
  <si>
    <t xml:space="preserve">Pkp</t>
  </si>
  <si>
    <t xml:space="preserve">Con</t>
  </si>
  <si>
    <t xml:space="preserve">CN</t>
  </si>
  <si>
    <t xml:space="preserve">Kap</t>
  </si>
  <si>
    <t xml:space="preserve">^Hen^</t>
  </si>
  <si>
    <t xml:space="preserve">Lwg</t>
  </si>
  <si>
    <t xml:space="preserve">Sab</t>
  </si>
  <si>
    <t xml:space="preserve">Pag</t>
  </si>
  <si>
    <t xml:space="preserve">Mac</t>
  </si>
  <si>
    <t xml:space="preserve">W12</t>
  </si>
  <si>
    <t xml:space="preserve">Per</t>
  </si>
  <si>
    <t xml:space="preserve">Par</t>
  </si>
  <si>
    <t xml:space="preserve">Bin</t>
  </si>
  <si>
    <t xml:space="preserve">Gar</t>
  </si>
  <si>
    <t xml:space="preserve">LASTCOL</t>
  </si>
  <si>
    <t xml:space="preserve">TYP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</si>
  <si>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</si>
  <si>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</si>
  <si>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</si>
  <si>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</si>
  <si>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</si>
  <si>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</si>
  <si>
    <t xml:space="preserve">CO1c</t>
  </si>
  <si>
    <t xml:space="preserve">CO2c</t>
  </si>
  <si>
    <t xml:space="preserve">CO3c</t>
  </si>
  <si>
    <t xml:space="preserve">CO4c</t>
  </si>
  <si>
    <t xml:space="preserve">CO5c</t>
  </si>
  <si>
    <t xml:space="preserve">CO6c</t>
  </si>
  <si>
    <t xml:space="preserve">Aen. 01</t>
  </si>
  <si>
    <t xml:space="preserve">Aeneas arrives in Carthage</t>
  </si>
  <si>
    <t xml:space="preserve">1</t>
  </si>
  <si>
    <t xml:space="preserve">170</t>
  </si>
  <si>
    <t xml:space="preserve">1117</t>
  </si>
  <si>
    <t xml:space="preserve">2151</t>
  </si>
  <si>
    <t xml:space="preserve">246</t>
  </si>
  <si>
    <t xml:space="preserve">206</t>
  </si>
  <si>
    <t xml:space="preserve">298</t>
  </si>
  <si>
    <t xml:space="preserve">258</t>
  </si>
  <si>
    <t xml:space="preserve">221</t>
  </si>
  <si>
    <t xml:space="preserve">100</t>
  </si>
  <si>
    <t xml:space="preserve">225</t>
  </si>
  <si>
    <t xml:space="preserve">59</t>
  </si>
  <si>
    <t xml:space="preserve">136</t>
  </si>
  <si>
    <t xml:space="preserve">152</t>
  </si>
  <si>
    <t xml:space="preserve">35</t>
  </si>
  <si>
    <t xml:space="preserve">309</t>
  </si>
  <si>
    <t xml:space="preserve">86</t>
  </si>
  <si>
    <t xml:space="preserve">178</t>
  </si>
  <si>
    <t xml:space="preserve">124</t>
  </si>
  <si>
    <t xml:space="preserve">150</t>
  </si>
  <si>
    <t xml:space="preserve">134</t>
  </si>
  <si>
    <t xml:space="preserve">119</t>
  </si>
  <si>
    <t xml:space="preserve">232</t>
  </si>
  <si>
    <t xml:space="preserve">145</t>
  </si>
  <si>
    <t xml:space="preserve">143</t>
  </si>
  <si>
    <t xml:space="preserve">300</t>
  </si>
  <si>
    <t xml:space="preserve">137</t>
  </si>
  <si>
    <t xml:space="preserve">142</t>
  </si>
  <si>
    <t xml:space="preserve">370</t>
  </si>
  <si>
    <t xml:space="preserve">Aen. 02</t>
  </si>
  <si>
    <t xml:space="preserve">Aeneas' story: the fall of Troy</t>
  </si>
  <si>
    <t xml:space="preserve">2</t>
  </si>
  <si>
    <t xml:space="preserve">88</t>
  </si>
  <si>
    <t xml:space="preserve">765</t>
  </si>
  <si>
    <t xml:space="preserve">1381</t>
  </si>
  <si>
    <t xml:space="preserve">121</t>
  </si>
  <si>
    <t xml:space="preserve">181</t>
  </si>
  <si>
    <t xml:space="preserve">159</t>
  </si>
  <si>
    <t xml:space="preserve">157</t>
  </si>
  <si>
    <t xml:space="preserve">8</t>
  </si>
  <si>
    <t xml:space="preserve">4</t>
  </si>
  <si>
    <t xml:space="preserve">68</t>
  </si>
  <si>
    <t xml:space="preserve">89</t>
  </si>
  <si>
    <t xml:space="preserve">15</t>
  </si>
  <si>
    <t xml:space="preserve">135</t>
  </si>
  <si>
    <t xml:space="preserve">78</t>
  </si>
  <si>
    <t xml:space="preserve">95</t>
  </si>
  <si>
    <t xml:space="preserve">109</t>
  </si>
  <si>
    <t xml:space="preserve">130</t>
  </si>
  <si>
    <t xml:space="preserve">64</t>
  </si>
  <si>
    <t xml:space="preserve">113</t>
  </si>
  <si>
    <t xml:space="preserve">123</t>
  </si>
  <si>
    <t xml:space="preserve">94</t>
  </si>
  <si>
    <t xml:space="preserve">107</t>
  </si>
  <si>
    <t xml:space="preserve">98</t>
  </si>
  <si>
    <t xml:space="preserve">146</t>
  </si>
  <si>
    <t xml:space="preserve">Aen. 03</t>
  </si>
  <si>
    <t xml:space="preserve">Aeneas' story: his wanderings</t>
  </si>
  <si>
    <t xml:space="preserve">3</t>
  </si>
  <si>
    <t xml:space="preserve">601</t>
  </si>
  <si>
    <t xml:space="preserve">1062</t>
  </si>
  <si>
    <t xml:space="preserve">117</t>
  </si>
  <si>
    <t xml:space="preserve">155</t>
  </si>
  <si>
    <t xml:space="preserve">138</t>
  </si>
  <si>
    <t xml:space="preserve">174</t>
  </si>
  <si>
    <t xml:space="preserve">83</t>
  </si>
  <si>
    <t xml:space="preserve">49</t>
  </si>
  <si>
    <t xml:space="preserve">87</t>
  </si>
  <si>
    <t xml:space="preserve">129</t>
  </si>
  <si>
    <t xml:space="preserve">141</t>
  </si>
  <si>
    <t xml:space="preserve">75</t>
  </si>
  <si>
    <t xml:space="preserve">139</t>
  </si>
  <si>
    <t xml:space="preserve">144</t>
  </si>
  <si>
    <t xml:space="preserve">120</t>
  </si>
  <si>
    <t xml:space="preserve">105</t>
  </si>
  <si>
    <t xml:space="preserve">101</t>
  </si>
  <si>
    <t xml:space="preserve">84</t>
  </si>
  <si>
    <t xml:space="preserve">111</t>
  </si>
  <si>
    <t xml:space="preserve">Aen. 04</t>
  </si>
  <si>
    <t xml:space="preserve">Carthage: Dido and Aeneas</t>
  </si>
  <si>
    <t xml:space="preserve">82</t>
  </si>
  <si>
    <t xml:space="preserve">676</t>
  </si>
  <si>
    <t xml:space="preserve">1127</t>
  </si>
  <si>
    <t xml:space="preserve">128</t>
  </si>
  <si>
    <t xml:space="preserve">168</t>
  </si>
  <si>
    <t xml:space="preserve">218</t>
  </si>
  <si>
    <t xml:space="preserve">40</t>
  </si>
  <si>
    <t xml:space="preserve">13</t>
  </si>
  <si>
    <t xml:space="preserve">72</t>
  </si>
  <si>
    <t xml:space="preserve">6</t>
  </si>
  <si>
    <t xml:space="preserve">54</t>
  </si>
  <si>
    <t xml:space="preserve">31</t>
  </si>
  <si>
    <t xml:space="preserve">99</t>
  </si>
  <si>
    <t xml:space="preserve">227</t>
  </si>
  <si>
    <t xml:space="preserve">91</t>
  </si>
  <si>
    <t xml:space="preserve">110</t>
  </si>
  <si>
    <t xml:space="preserve">104</t>
  </si>
  <si>
    <t xml:space="preserve">148</t>
  </si>
  <si>
    <t xml:space="preserve">Aen. 05</t>
  </si>
  <si>
    <t xml:space="preserve">Aeneas in Sicily; games in Anchises' memory</t>
  </si>
  <si>
    <t xml:space="preserve">5</t>
  </si>
  <si>
    <t xml:space="preserve">458</t>
  </si>
  <si>
    <t xml:space="preserve">872</t>
  </si>
  <si>
    <t xml:space="preserve">62</t>
  </si>
  <si>
    <t xml:space="preserve">74</t>
  </si>
  <si>
    <t xml:space="preserve">90</t>
  </si>
  <si>
    <t xml:space="preserve">28</t>
  </si>
  <si>
    <t xml:space="preserve">44</t>
  </si>
  <si>
    <t xml:space="preserve">11</t>
  </si>
  <si>
    <t xml:space="preserve">47</t>
  </si>
  <si>
    <t xml:space="preserve">60</t>
  </si>
  <si>
    <t xml:space="preserve">20</t>
  </si>
  <si>
    <t xml:space="preserve">36</t>
  </si>
  <si>
    <t xml:space="preserve">65</t>
  </si>
  <si>
    <t xml:space="preserve">71</t>
  </si>
  <si>
    <t xml:space="preserve">73</t>
  </si>
  <si>
    <t xml:space="preserve">81</t>
  </si>
  <si>
    <t xml:space="preserve">58</t>
  </si>
  <si>
    <t xml:space="preserve">79</t>
  </si>
  <si>
    <t xml:space="preserve">Aen. 06</t>
  </si>
  <si>
    <t xml:space="preserve">Aeneas in the Underworld</t>
  </si>
  <si>
    <t xml:space="preserve">112</t>
  </si>
  <si>
    <t xml:space="preserve">779</t>
  </si>
  <si>
    <t xml:space="preserve">988</t>
  </si>
  <si>
    <t xml:space="preserve">115</t>
  </si>
  <si>
    <t xml:space="preserve">118</t>
  </si>
  <si>
    <t xml:space="preserve">17</t>
  </si>
  <si>
    <t xml:space="preserve">550</t>
  </si>
  <si>
    <t xml:space="preserve">414</t>
  </si>
  <si>
    <t xml:space="preserve">269</t>
  </si>
  <si>
    <t xml:space="preserve">187</t>
  </si>
  <si>
    <t xml:space="preserve">14</t>
  </si>
  <si>
    <t xml:space="preserve">122</t>
  </si>
  <si>
    <t xml:space="preserve">189</t>
  </si>
  <si>
    <t xml:space="preserve">108</t>
  </si>
  <si>
    <t xml:space="preserve">93</t>
  </si>
  <si>
    <t xml:space="preserve">Aen. 07</t>
  </si>
  <si>
    <t xml:space="preserve">Arrival in Latium</t>
  </si>
  <si>
    <t xml:space="preserve">7</t>
  </si>
  <si>
    <t xml:space="preserve">57</t>
  </si>
  <si>
    <t xml:space="preserve">535</t>
  </si>
  <si>
    <t xml:space="preserve">450</t>
  </si>
  <si>
    <t xml:space="preserve">77</t>
  </si>
  <si>
    <t xml:space="preserve">92</t>
  </si>
  <si>
    <t xml:space="preserve">10</t>
  </si>
  <si>
    <t xml:space="preserve">69</t>
  </si>
  <si>
    <t xml:space="preserve">97</t>
  </si>
  <si>
    <t xml:space="preserve">38</t>
  </si>
  <si>
    <t xml:space="preserve">96</t>
  </si>
  <si>
    <t xml:space="preserve">172</t>
  </si>
  <si>
    <t xml:space="preserve">106</t>
  </si>
  <si>
    <t xml:space="preserve">67</t>
  </si>
  <si>
    <t xml:space="preserve">Aen. 08</t>
  </si>
  <si>
    <t xml:space="preserve">Aeneas meets Euander; Aeneas' shield</t>
  </si>
  <si>
    <t xml:space="preserve">445</t>
  </si>
  <si>
    <t xml:space="preserve">354</t>
  </si>
  <si>
    <t xml:space="preserve">85</t>
  </si>
  <si>
    <t xml:space="preserve">51</t>
  </si>
  <si>
    <t xml:space="preserve">140</t>
  </si>
  <si>
    <t xml:space="preserve">53</t>
  </si>
  <si>
    <t xml:space="preserve">33</t>
  </si>
  <si>
    <t xml:space="preserve">103</t>
  </si>
  <si>
    <t xml:space="preserve">116</t>
  </si>
  <si>
    <t xml:space="preserve">Aen. 09</t>
  </si>
  <si>
    <t xml:space="preserve">the fighting begins; Nisus and Euryalus</t>
  </si>
  <si>
    <t xml:space="preserve">9</t>
  </si>
  <si>
    <t xml:space="preserve">459</t>
  </si>
  <si>
    <t xml:space="preserve">271</t>
  </si>
  <si>
    <t xml:space="preserve">30</t>
  </si>
  <si>
    <t xml:space="preserve">Aen. 10</t>
  </si>
  <si>
    <t xml:space="preserve">council of the gods; the fighting continues; Pallas and Mezentius</t>
  </si>
  <si>
    <t xml:space="preserve">467</t>
  </si>
  <si>
    <t xml:space="preserve">292</t>
  </si>
  <si>
    <t xml:space="preserve">34</t>
  </si>
  <si>
    <t xml:space="preserve">18</t>
  </si>
  <si>
    <t xml:space="preserve">76</t>
  </si>
  <si>
    <t xml:space="preserve">80</t>
  </si>
  <si>
    <t xml:space="preserve">102</t>
  </si>
  <si>
    <t xml:space="preserve">Aen. 11</t>
  </si>
  <si>
    <t xml:space="preserve">funerals; council of the Latins; Camilla</t>
  </si>
  <si>
    <t xml:space="preserve">39</t>
  </si>
  <si>
    <t xml:space="preserve">391</t>
  </si>
  <si>
    <t xml:space="preserve">266</t>
  </si>
  <si>
    <t xml:space="preserve">43</t>
  </si>
  <si>
    <t xml:space="preserve">61</t>
  </si>
  <si>
    <t xml:space="preserve">16</t>
  </si>
  <si>
    <t xml:space="preserve">41</t>
  </si>
  <si>
    <t xml:space="preserve">Aen. 12</t>
  </si>
  <si>
    <t xml:space="preserve">final battles; Aeneas and Turnus</t>
  </si>
  <si>
    <t xml:space="preserve">12</t>
  </si>
  <si>
    <t xml:space="preserve">384</t>
  </si>
  <si>
    <t xml:space="preserve">46</t>
  </si>
  <si>
    <t xml:space="preserve">56</t>
  </si>
  <si>
    <t xml:space="preserve">24</t>
  </si>
  <si>
    <t xml:space="preserve">42</t>
  </si>
  <si>
    <t xml:space="preserve">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</si>
</sst>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D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2" activeCellId="0" sqref="F2"/>
    </sheetView>
  </sheetViews>
  <sheetFormatPr defaultColWidth="12.6328125" defaultRowHeight="15.75" customHeight="true" zeroHeight="false" outlineLevelRow="0" outlineLevelCol="0"/>
  <sheetData>
    <row r="1" customFormat="false" ht="26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4" t="s">
        <v>28</v>
      </c>
      <c r="AD1" s="6" t="s">
        <v>29</v>
      </c>
      <c r="AE1" s="5" t="s">
        <v>30</v>
      </c>
      <c r="AF1" s="7" t="s">
        <v>31</v>
      </c>
      <c r="AG1" s="8" t="s">
        <v>32</v>
      </c>
      <c r="AH1" s="8" t="s">
        <v>33</v>
      </c>
      <c r="AI1" s="5" t="s">
        <v>34</v>
      </c>
      <c r="AJ1" s="6" t="s">
        <v>35</v>
      </c>
      <c r="AK1" s="9" t="s">
        <v>36</v>
      </c>
      <c r="AL1" s="9" t="s">
        <v>37</v>
      </c>
      <c r="AM1" s="4" t="s">
        <v>38</v>
      </c>
      <c r="AN1" s="9" t="s">
        <v>39</v>
      </c>
      <c r="AO1" s="6" t="s">
        <v>40</v>
      </c>
      <c r="AP1" s="5" t="s">
        <v>41</v>
      </c>
      <c r="AQ1" s="6" t="s">
        <v>42</v>
      </c>
      <c r="AR1" s="5" t="s">
        <v>43</v>
      </c>
      <c r="AS1" s="6" t="s">
        <v>44</v>
      </c>
      <c r="AT1" s="5" t="s">
        <v>45</v>
      </c>
      <c r="AU1" s="6" t="s">
        <v>46</v>
      </c>
      <c r="AV1" s="5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6" t="s">
        <v>53</v>
      </c>
      <c r="BC1" s="5" t="s">
        <v>54</v>
      </c>
      <c r="BD1" s="5" t="s">
        <v>55</v>
      </c>
      <c r="BE1" s="8" t="s">
        <v>56</v>
      </c>
      <c r="BF1" s="5" t="s">
        <v>57</v>
      </c>
      <c r="BG1" s="4" t="s">
        <v>58</v>
      </c>
      <c r="BH1" s="9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6" t="s">
        <v>69</v>
      </c>
      <c r="BS1" s="7" t="s">
        <v>70</v>
      </c>
      <c r="BT1" s="7" t="s">
        <v>71</v>
      </c>
      <c r="BU1" s="5" t="s">
        <v>72</v>
      </c>
      <c r="BV1" s="5" t="s">
        <v>73</v>
      </c>
      <c r="BW1" s="4" t="s">
        <v>74</v>
      </c>
      <c r="BX1" s="4" t="s">
        <v>75</v>
      </c>
      <c r="BY1" s="4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4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10" t="s">
        <v>92</v>
      </c>
      <c r="CP1" s="7" t="s">
        <v>93</v>
      </c>
      <c r="CQ1" s="7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customFormat="false" ht="15.75" hidden="false" customHeight="false" outlineLevel="0" collapsed="false">
      <c r="A2" s="11" t="s">
        <v>108</v>
      </c>
      <c r="B2" s="12" t="s">
        <v>109</v>
      </c>
      <c r="C2" s="11" t="s">
        <v>110</v>
      </c>
      <c r="E2" s="12" t="n">
        <v>754.1</v>
      </c>
      <c r="F2" s="13" t="s">
        <v>111</v>
      </c>
      <c r="G2" s="13" t="s">
        <v>112</v>
      </c>
      <c r="H2" s="13" t="s">
        <v>113</v>
      </c>
      <c r="I2" s="13" t="s">
        <v>114</v>
      </c>
      <c r="J2" s="13" t="s">
        <v>115</v>
      </c>
      <c r="K2" s="13" t="s">
        <v>116</v>
      </c>
      <c r="L2" s="13" t="s">
        <v>117</v>
      </c>
      <c r="M2" s="12" t="n">
        <v>206</v>
      </c>
      <c r="N2" s="13" t="s">
        <v>118</v>
      </c>
      <c r="O2" s="12" t="n">
        <v>211</v>
      </c>
      <c r="P2" s="12" t="n">
        <v>131</v>
      </c>
      <c r="Q2" s="13" t="s">
        <v>119</v>
      </c>
      <c r="R2" s="13" t="s">
        <v>120</v>
      </c>
      <c r="S2" s="13" t="s">
        <v>121</v>
      </c>
      <c r="T2" s="13" t="s">
        <v>122</v>
      </c>
      <c r="U2" s="13" t="s">
        <v>123</v>
      </c>
      <c r="V2" s="12" t="n">
        <v>107</v>
      </c>
      <c r="W2" s="12" t="n">
        <v>161</v>
      </c>
      <c r="X2" s="13" t="s">
        <v>119</v>
      </c>
      <c r="Y2" s="12" t="n">
        <v>182</v>
      </c>
      <c r="Z2" s="12" t="n">
        <v>184</v>
      </c>
      <c r="AA2" s="12" t="n">
        <v>235</v>
      </c>
      <c r="AB2" s="13" t="s">
        <v>124</v>
      </c>
      <c r="AC2" s="13" t="s">
        <v>125</v>
      </c>
      <c r="AD2" s="14" t="s">
        <v>119</v>
      </c>
      <c r="AE2" s="12" t="n">
        <v>224</v>
      </c>
      <c r="AF2" s="15" t="n">
        <v>161</v>
      </c>
      <c r="AG2" s="13" t="s">
        <v>126</v>
      </c>
      <c r="AH2" s="13" t="s">
        <v>127</v>
      </c>
      <c r="AI2" s="12" t="n">
        <v>184</v>
      </c>
      <c r="AJ2" s="16"/>
      <c r="AK2" s="14" t="s">
        <v>119</v>
      </c>
      <c r="AL2" s="14" t="s">
        <v>119</v>
      </c>
      <c r="AM2" s="13" t="s">
        <v>128</v>
      </c>
      <c r="AN2" s="16"/>
      <c r="AO2" s="14" t="s">
        <v>119</v>
      </c>
      <c r="AP2" s="12" t="n">
        <v>175</v>
      </c>
      <c r="AQ2" s="14" t="s">
        <v>129</v>
      </c>
      <c r="AR2" s="12" t="n">
        <v>105</v>
      </c>
      <c r="AS2" s="14" t="s">
        <v>119</v>
      </c>
      <c r="AT2" s="12" t="n">
        <v>166</v>
      </c>
      <c r="AU2" s="14" t="s">
        <v>130</v>
      </c>
      <c r="AV2" s="12" t="n">
        <v>128</v>
      </c>
      <c r="AW2" s="13" t="s">
        <v>131</v>
      </c>
      <c r="AX2" s="13"/>
      <c r="AY2" s="13" t="s">
        <v>132</v>
      </c>
      <c r="AZ2" s="13" t="s">
        <v>133</v>
      </c>
      <c r="BA2" s="13" t="s">
        <v>134</v>
      </c>
      <c r="BB2" s="14" t="s">
        <v>119</v>
      </c>
      <c r="BC2" s="12" t="n">
        <v>132</v>
      </c>
      <c r="BD2" s="12" t="n">
        <v>97</v>
      </c>
      <c r="BE2" s="13" t="s">
        <v>123</v>
      </c>
      <c r="BF2" s="12" t="n">
        <v>88</v>
      </c>
      <c r="BG2" s="13" t="s">
        <v>127</v>
      </c>
      <c r="BH2" s="16"/>
      <c r="BI2" s="12" t="n">
        <v>171</v>
      </c>
      <c r="BJ2" s="12" t="n">
        <v>124</v>
      </c>
      <c r="BK2" s="12" t="n">
        <v>252</v>
      </c>
      <c r="BL2" s="12" t="n">
        <v>71</v>
      </c>
      <c r="BM2" s="12" t="n">
        <v>97</v>
      </c>
      <c r="BN2" s="12" t="n">
        <v>106</v>
      </c>
      <c r="BO2" s="12" t="n">
        <v>135</v>
      </c>
      <c r="BP2" s="12" t="n">
        <v>142</v>
      </c>
      <c r="BQ2" s="12" t="n">
        <v>166</v>
      </c>
      <c r="BR2" s="16"/>
      <c r="BS2" s="15" t="n">
        <v>108</v>
      </c>
      <c r="BT2" s="15" t="n">
        <v>151</v>
      </c>
      <c r="BU2" s="12" t="n">
        <v>149</v>
      </c>
      <c r="BV2" s="12" t="n">
        <v>141</v>
      </c>
      <c r="BW2" s="13" t="s">
        <v>135</v>
      </c>
      <c r="BX2" s="13" t="s">
        <v>136</v>
      </c>
      <c r="BY2" s="13" t="s">
        <v>137</v>
      </c>
      <c r="BZ2" s="12" t="n">
        <v>139</v>
      </c>
      <c r="CA2" s="12" t="n">
        <v>138</v>
      </c>
      <c r="CB2" s="12" t="n">
        <v>166</v>
      </c>
      <c r="CC2" s="12" t="n">
        <v>121</v>
      </c>
      <c r="CD2" s="12" t="n">
        <v>103</v>
      </c>
      <c r="CE2" s="12" t="n">
        <v>110</v>
      </c>
      <c r="CF2" s="12" t="n">
        <v>112</v>
      </c>
      <c r="CG2" s="13" t="s">
        <v>138</v>
      </c>
      <c r="CH2" s="12" t="n">
        <v>120</v>
      </c>
      <c r="CJ2" s="12" t="n">
        <v>129</v>
      </c>
      <c r="CK2" s="12" t="n">
        <v>157</v>
      </c>
      <c r="CL2" s="12" t="n">
        <v>111</v>
      </c>
      <c r="CM2" s="12" t="n">
        <v>78</v>
      </c>
      <c r="CN2" s="12" t="n">
        <v>133</v>
      </c>
      <c r="CO2" s="12" t="n">
        <v>84</v>
      </c>
      <c r="CP2" s="15" t="n">
        <v>72</v>
      </c>
      <c r="CQ2" s="17"/>
      <c r="CR2" s="18" t="n">
        <f aca="false">ROUND(AVERAGE(AVERAGE(M2:CQ2), MEDIAN(M2:CQ2)),0)</f>
        <v>137</v>
      </c>
      <c r="CS2" s="18" t="n">
        <f aca="false">ROUND(AVERAGE(AVERAGE(M2:P2), MEDIAN(M2:P2)),0)</f>
        <v>194</v>
      </c>
      <c r="CT2" s="19" t="n">
        <f aca="false">ROUND(AVERAGE(AVERAGE(S2:AM2), MEDIAN(S2:AM2)),0)</f>
        <v>181</v>
      </c>
      <c r="CU2" s="18" t="n">
        <f aca="false">ROUND(AVERAGE(AVERAGE(AP2:BG2), MEDIAN(AP2:BG2)),0)</f>
        <v>128</v>
      </c>
      <c r="CV2" s="18" t="n">
        <f aca="false">ROUND(AVERAGE(AVERAGE(BI2:BV2), MEDIAN(BI2:BV2)),0)</f>
        <v>140</v>
      </c>
      <c r="CW2" s="19" t="n">
        <f aca="false">ROUND(AVERAGE(AVERAGE(BX2:CI2), MEDIAN(BX2:CI2)),0)</f>
        <v>123</v>
      </c>
      <c r="CX2" s="18" t="n">
        <f aca="false">ROUND(AVERAGE(AVERAGE(CJ2:CQ2), MEDIAN(CJ2:CQ2)),0)</f>
        <v>110</v>
      </c>
      <c r="CY2" s="18" t="n">
        <f aca="false">CS2</f>
        <v>194</v>
      </c>
      <c r="CZ2" s="18" t="n">
        <f aca="false">ROUND(AVERAGE(AVERAGE(M2:AM2), MEDIAN(M2:AM2)),0)</f>
        <v>182</v>
      </c>
      <c r="DA2" s="18" t="n">
        <f aca="false">ROUND(AVERAGE(AVERAGE(M2:BG2), MEDIAN(M2:BG2)),0)</f>
        <v>162</v>
      </c>
      <c r="DB2" s="18" t="n">
        <f aca="false">ROUND(AVERAGE(AVERAGE(M2:BV2), MEDIAN(M2:BV2)),0)</f>
        <v>150</v>
      </c>
      <c r="DC2" s="18" t="n">
        <f aca="false">ROUND(AVERAGE(AVERAGE(M2:CI2), MEDIAN(M2:CI2)),0)</f>
        <v>143</v>
      </c>
      <c r="DD2" s="18" t="n">
        <f aca="false">CR2</f>
        <v>137</v>
      </c>
    </row>
    <row r="3" customFormat="false" ht="15.75" hidden="false" customHeight="false" outlineLevel="0" collapsed="false">
      <c r="A3" s="11" t="s">
        <v>139</v>
      </c>
      <c r="B3" s="12" t="s">
        <v>140</v>
      </c>
      <c r="C3" s="11" t="s">
        <v>141</v>
      </c>
      <c r="E3" s="12" t="n">
        <v>797.6</v>
      </c>
      <c r="F3" s="13" t="s">
        <v>142</v>
      </c>
      <c r="G3" s="13" t="s">
        <v>143</v>
      </c>
      <c r="H3" s="13" t="s">
        <v>144</v>
      </c>
      <c r="I3" s="13" t="s">
        <v>145</v>
      </c>
      <c r="J3" s="13" t="s">
        <v>130</v>
      </c>
      <c r="K3" s="13" t="s">
        <v>146</v>
      </c>
      <c r="L3" s="13" t="s">
        <v>147</v>
      </c>
      <c r="M3" s="12" t="n">
        <v>91</v>
      </c>
      <c r="N3" s="13" t="s">
        <v>148</v>
      </c>
      <c r="O3" s="12" t="n">
        <v>115</v>
      </c>
      <c r="P3" s="12" t="n">
        <v>103</v>
      </c>
      <c r="Q3" s="13" t="s">
        <v>119</v>
      </c>
      <c r="R3" s="13" t="s">
        <v>149</v>
      </c>
      <c r="S3" s="13" t="s">
        <v>150</v>
      </c>
      <c r="T3" s="13" t="s">
        <v>151</v>
      </c>
      <c r="U3" s="13" t="s">
        <v>152</v>
      </c>
      <c r="V3" s="12" t="n">
        <v>80</v>
      </c>
      <c r="W3" s="12" t="n">
        <v>102</v>
      </c>
      <c r="X3" s="13" t="s">
        <v>119</v>
      </c>
      <c r="Y3" s="12" t="n">
        <v>111</v>
      </c>
      <c r="Z3" s="12" t="n">
        <v>94</v>
      </c>
      <c r="AA3" s="12" t="n">
        <v>132</v>
      </c>
      <c r="AB3" s="13" t="s">
        <v>153</v>
      </c>
      <c r="AC3" s="13" t="s">
        <v>122</v>
      </c>
      <c r="AD3" s="16"/>
      <c r="AE3" s="12" t="n">
        <v>123</v>
      </c>
      <c r="AF3" s="15" t="n">
        <v>121</v>
      </c>
      <c r="AG3" s="13" t="s">
        <v>154</v>
      </c>
      <c r="AH3" s="13" t="s">
        <v>155</v>
      </c>
      <c r="AI3" s="12" t="n">
        <v>108</v>
      </c>
      <c r="AJ3" s="16"/>
      <c r="AK3" s="16"/>
      <c r="AL3" s="14" t="s">
        <v>119</v>
      </c>
      <c r="AM3" s="13" t="s">
        <v>156</v>
      </c>
      <c r="AN3" s="16"/>
      <c r="AO3" s="14" t="s">
        <v>119</v>
      </c>
      <c r="AP3" s="12" t="n">
        <v>167</v>
      </c>
      <c r="AQ3" s="14" t="s">
        <v>157</v>
      </c>
      <c r="AR3" s="12" t="n">
        <v>97</v>
      </c>
      <c r="AS3" s="14" t="s">
        <v>119</v>
      </c>
      <c r="AT3" s="12" t="n">
        <v>103</v>
      </c>
      <c r="AU3" s="14" t="s">
        <v>158</v>
      </c>
      <c r="AV3" s="12" t="n">
        <v>100</v>
      </c>
      <c r="AW3" s="13" t="s">
        <v>159</v>
      </c>
      <c r="AX3" s="13"/>
      <c r="AY3" s="13" t="s">
        <v>160</v>
      </c>
      <c r="AZ3" s="13" t="s">
        <v>161</v>
      </c>
      <c r="BA3" s="13" t="s">
        <v>157</v>
      </c>
      <c r="BB3" s="14" t="s">
        <v>119</v>
      </c>
      <c r="BC3" s="12" t="n">
        <v>99</v>
      </c>
      <c r="BD3" s="12" t="n">
        <v>113</v>
      </c>
      <c r="BE3" s="13" t="s">
        <v>162</v>
      </c>
      <c r="BF3" s="12" t="n">
        <v>85</v>
      </c>
      <c r="BG3" s="13" t="s">
        <v>163</v>
      </c>
      <c r="BH3" s="16"/>
      <c r="BI3" s="12" t="n">
        <v>119</v>
      </c>
      <c r="BJ3" s="12" t="n">
        <v>101</v>
      </c>
      <c r="BK3" s="12" t="n">
        <v>124</v>
      </c>
      <c r="BL3" s="12" t="n">
        <v>77</v>
      </c>
      <c r="BM3" s="12" t="n">
        <v>79</v>
      </c>
      <c r="BN3" s="12" t="n">
        <v>92</v>
      </c>
      <c r="BO3" s="12" t="n">
        <v>107</v>
      </c>
      <c r="BP3" s="12" t="n">
        <v>96</v>
      </c>
      <c r="BQ3" s="12" t="n">
        <v>75</v>
      </c>
      <c r="BR3" s="16"/>
      <c r="BS3" s="15" t="n">
        <v>84</v>
      </c>
      <c r="BT3" s="15" t="n">
        <v>101</v>
      </c>
      <c r="BU3" s="12" t="n">
        <v>74</v>
      </c>
      <c r="BV3" s="12" t="n">
        <v>126</v>
      </c>
      <c r="BW3" s="13" t="s">
        <v>135</v>
      </c>
      <c r="BX3" s="13" t="s">
        <v>164</v>
      </c>
      <c r="BY3" s="13" t="s">
        <v>162</v>
      </c>
      <c r="BZ3" s="12" t="n">
        <v>95</v>
      </c>
      <c r="CA3" s="12" t="n">
        <v>90</v>
      </c>
      <c r="CB3" s="12" t="n">
        <v>126</v>
      </c>
      <c r="CC3" s="12" t="n">
        <v>111</v>
      </c>
      <c r="CD3" s="12" t="n">
        <v>100</v>
      </c>
      <c r="CE3" s="12" t="n">
        <v>107</v>
      </c>
      <c r="CF3" s="12" t="n">
        <v>95</v>
      </c>
      <c r="CG3" s="13" t="s">
        <v>165</v>
      </c>
      <c r="CH3" s="12" t="n">
        <v>103</v>
      </c>
      <c r="CJ3" s="12" t="n">
        <v>113</v>
      </c>
      <c r="CK3" s="12" t="n">
        <v>114</v>
      </c>
      <c r="CL3" s="12" t="n">
        <v>88</v>
      </c>
      <c r="CM3" s="12" t="n">
        <v>76</v>
      </c>
      <c r="CN3" s="12" t="n">
        <v>144</v>
      </c>
      <c r="CO3" s="12" t="n">
        <v>89</v>
      </c>
      <c r="CP3" s="15" t="n">
        <v>71</v>
      </c>
      <c r="CQ3" s="17"/>
      <c r="CR3" s="18" t="n">
        <f aca="false">ROUND(AVERAGE(AVERAGE(M3:CQ3), MEDIAN(M3:CQ3)),0)</f>
        <v>102</v>
      </c>
      <c r="CS3" s="18" t="n">
        <f aca="false">ROUND(AVERAGE(AVERAGE(M3:P3), MEDIAN(M3:P3)),0)</f>
        <v>103</v>
      </c>
      <c r="CT3" s="19" t="n">
        <f aca="false">ROUND(AVERAGE(AVERAGE(S3:AM3), MEDIAN(S3:AM3)),0)</f>
        <v>109</v>
      </c>
      <c r="CU3" s="18" t="n">
        <f aca="false">ROUND(AVERAGE(AVERAGE(AP3:BG3), MEDIAN(AP3:BG3)),0)</f>
        <v>105</v>
      </c>
      <c r="CV3" s="18" t="n">
        <f aca="false">ROUND(AVERAGE(AVERAGE(BI3:BV3), MEDIAN(BI3:BV3)),0)</f>
        <v>96</v>
      </c>
      <c r="CW3" s="19" t="n">
        <f aca="false">ROUND(AVERAGE(AVERAGE(BX3:CI3), MEDIAN(BX3:CI3)),0)</f>
        <v>102</v>
      </c>
      <c r="CX3" s="18" t="n">
        <f aca="false">ROUND(AVERAGE(AVERAGE(CJ3:CQ3), MEDIAN(CJ3:CQ3)),0)</f>
        <v>94</v>
      </c>
      <c r="CY3" s="18" t="n">
        <f aca="false">CS3</f>
        <v>103</v>
      </c>
      <c r="CZ3" s="18" t="n">
        <f aca="false">ROUND(AVERAGE(AVERAGE(M3:AM3), MEDIAN(M3:AM3)),0)</f>
        <v>108</v>
      </c>
      <c r="DA3" s="18" t="n">
        <f aca="false">ROUND(AVERAGE(AVERAGE(M3:BG3), MEDIAN(M3:BG3)),0)</f>
        <v>106</v>
      </c>
      <c r="DB3" s="18" t="n">
        <f aca="false">ROUND(AVERAGE(AVERAGE(M3:BV3), MEDIAN(M3:BV3)),0)</f>
        <v>102</v>
      </c>
      <c r="DC3" s="18" t="n">
        <f aca="false">ROUND(AVERAGE(AVERAGE(M3:CI3), MEDIAN(M3:CI3)),0)</f>
        <v>102</v>
      </c>
      <c r="DD3" s="18" t="n">
        <f aca="false">CR3</f>
        <v>102</v>
      </c>
    </row>
    <row r="4" customFormat="false" ht="15.75" hidden="false" customHeight="false" outlineLevel="0" collapsed="false">
      <c r="A4" s="11" t="s">
        <v>166</v>
      </c>
      <c r="B4" s="12" t="s">
        <v>167</v>
      </c>
      <c r="C4" s="11" t="s">
        <v>168</v>
      </c>
      <c r="E4" s="12" t="n">
        <v>714.1</v>
      </c>
      <c r="F4" s="13" t="s">
        <v>155</v>
      </c>
      <c r="G4" s="13" t="s">
        <v>169</v>
      </c>
      <c r="H4" s="13" t="s">
        <v>170</v>
      </c>
      <c r="I4" s="13" t="s">
        <v>131</v>
      </c>
      <c r="J4" s="13" t="s">
        <v>171</v>
      </c>
      <c r="K4" s="13" t="s">
        <v>172</v>
      </c>
      <c r="L4" s="13" t="s">
        <v>173</v>
      </c>
      <c r="M4" s="12" t="n">
        <v>119</v>
      </c>
      <c r="N4" s="13" t="s">
        <v>174</v>
      </c>
      <c r="O4" s="12" t="n">
        <v>138</v>
      </c>
      <c r="P4" s="12" t="n">
        <v>91</v>
      </c>
      <c r="Q4" s="13" t="s">
        <v>119</v>
      </c>
      <c r="R4" s="13" t="s">
        <v>175</v>
      </c>
      <c r="S4" s="13" t="s">
        <v>176</v>
      </c>
      <c r="T4" s="13" t="s">
        <v>177</v>
      </c>
      <c r="U4" s="13" t="s">
        <v>156</v>
      </c>
      <c r="V4" s="12" t="n">
        <v>92</v>
      </c>
      <c r="W4" s="12" t="n">
        <v>108</v>
      </c>
      <c r="X4" s="13" t="s">
        <v>119</v>
      </c>
      <c r="Y4" s="12" t="n">
        <v>142</v>
      </c>
      <c r="Z4" s="12" t="n">
        <v>105</v>
      </c>
      <c r="AA4" s="12" t="n">
        <v>124</v>
      </c>
      <c r="AB4" s="13" t="s">
        <v>153</v>
      </c>
      <c r="AC4" s="13" t="s">
        <v>178</v>
      </c>
      <c r="AD4" s="16"/>
      <c r="AE4" s="12" t="n">
        <v>115</v>
      </c>
      <c r="AF4" s="15" t="n">
        <v>141</v>
      </c>
      <c r="AG4" s="13" t="s">
        <v>179</v>
      </c>
      <c r="AH4" s="13" t="s">
        <v>180</v>
      </c>
      <c r="AI4" s="12" t="n">
        <v>106</v>
      </c>
      <c r="AJ4" s="16"/>
      <c r="AK4" s="16"/>
      <c r="AL4" s="14" t="s">
        <v>119</v>
      </c>
      <c r="AM4" s="13" t="s">
        <v>181</v>
      </c>
      <c r="AN4" s="16"/>
      <c r="AO4" s="14" t="s">
        <v>119</v>
      </c>
      <c r="AP4" s="12" t="n">
        <v>135</v>
      </c>
      <c r="AQ4" s="14" t="s">
        <v>182</v>
      </c>
      <c r="AR4" s="12" t="n">
        <v>106</v>
      </c>
      <c r="AS4" s="16"/>
      <c r="AT4" s="12" t="n">
        <v>128</v>
      </c>
      <c r="AU4" s="14" t="s">
        <v>152</v>
      </c>
      <c r="AV4" s="12" t="n">
        <v>122</v>
      </c>
      <c r="AW4" s="13" t="s">
        <v>183</v>
      </c>
      <c r="AX4" s="13"/>
      <c r="AY4" s="13" t="s">
        <v>184</v>
      </c>
      <c r="AZ4" s="13" t="s">
        <v>160</v>
      </c>
      <c r="BA4" s="13" t="s">
        <v>185</v>
      </c>
      <c r="BB4" s="14" t="s">
        <v>119</v>
      </c>
      <c r="BC4" s="12" t="n">
        <v>82</v>
      </c>
      <c r="BD4" s="12" t="n">
        <v>120</v>
      </c>
      <c r="BE4" s="13" t="s">
        <v>186</v>
      </c>
      <c r="BF4" s="12" t="n">
        <v>94</v>
      </c>
      <c r="BG4" s="13" t="s">
        <v>187</v>
      </c>
      <c r="BH4" s="16"/>
      <c r="BI4" s="12" t="n">
        <v>106</v>
      </c>
      <c r="BJ4" s="12" t="n">
        <v>92</v>
      </c>
      <c r="BK4" s="12" t="n">
        <v>122</v>
      </c>
      <c r="BL4" s="12" t="n">
        <v>105</v>
      </c>
      <c r="BM4" s="12" t="n">
        <v>91</v>
      </c>
      <c r="BN4" s="12" t="n">
        <v>110</v>
      </c>
      <c r="BO4" s="12" t="n">
        <v>134</v>
      </c>
      <c r="BP4" s="12" t="n">
        <v>101</v>
      </c>
      <c r="BQ4" s="12" t="n">
        <v>153</v>
      </c>
      <c r="BR4" s="16"/>
      <c r="BS4" s="15" t="n">
        <v>97</v>
      </c>
      <c r="BT4" s="15" t="n">
        <v>114</v>
      </c>
      <c r="BU4" s="12" t="n">
        <v>120</v>
      </c>
      <c r="BV4" s="12" t="n">
        <v>116</v>
      </c>
      <c r="BW4" s="13" t="s">
        <v>135</v>
      </c>
      <c r="BX4" s="13" t="s">
        <v>157</v>
      </c>
      <c r="BY4" s="13" t="s">
        <v>163</v>
      </c>
      <c r="BZ4" s="12" t="n">
        <v>109</v>
      </c>
      <c r="CA4" s="12" t="n">
        <v>108</v>
      </c>
      <c r="CB4" s="12" t="n">
        <v>119</v>
      </c>
      <c r="CC4" s="12" t="n">
        <v>83</v>
      </c>
      <c r="CD4" s="12" t="n">
        <v>86</v>
      </c>
      <c r="CE4" s="12" t="n">
        <v>94</v>
      </c>
      <c r="CF4" s="12" t="n">
        <v>113</v>
      </c>
      <c r="CG4" s="13" t="s">
        <v>152</v>
      </c>
      <c r="CH4" s="12" t="n">
        <v>100</v>
      </c>
      <c r="CJ4" s="12" t="n">
        <v>149</v>
      </c>
      <c r="CK4" s="12" t="n">
        <v>101</v>
      </c>
      <c r="CL4" s="12" t="n">
        <v>130</v>
      </c>
      <c r="CM4" s="12" t="n">
        <v>76</v>
      </c>
      <c r="CN4" s="12" t="n">
        <v>93</v>
      </c>
      <c r="CO4" s="12" t="n">
        <v>95</v>
      </c>
      <c r="CP4" s="15" t="n">
        <v>94</v>
      </c>
      <c r="CQ4" s="17"/>
      <c r="CR4" s="18" t="n">
        <f aca="false">ROUND(AVERAGE(AVERAGE(M4:CQ4), MEDIAN(M4:CQ4)),0)</f>
        <v>109</v>
      </c>
      <c r="CS4" s="18" t="n">
        <f aca="false">ROUND(AVERAGE(AVERAGE(M4:P4), MEDIAN(M4:P4)),0)</f>
        <v>118</v>
      </c>
      <c r="CT4" s="19" t="n">
        <f aca="false">ROUND(AVERAGE(AVERAGE(S4:AM4), MEDIAN(S4:AM4)),0)</f>
        <v>114</v>
      </c>
      <c r="CU4" s="18" t="n">
        <f aca="false">ROUND(AVERAGE(AVERAGE(AP4:BG4), MEDIAN(AP4:BG4)),0)</f>
        <v>116</v>
      </c>
      <c r="CV4" s="18" t="n">
        <f aca="false">ROUND(AVERAGE(AVERAGE(BI4:BV4), MEDIAN(BI4:BV4)),0)</f>
        <v>111</v>
      </c>
      <c r="CW4" s="19" t="n">
        <f aca="false">ROUND(AVERAGE(AVERAGE(BX4:CI4), MEDIAN(BX4:CI4)),0)</f>
        <v>103</v>
      </c>
      <c r="CX4" s="18" t="n">
        <f aca="false">ROUND(AVERAGE(AVERAGE(CJ4:CQ4), MEDIAN(CJ4:CQ4)),0)</f>
        <v>100</v>
      </c>
      <c r="CY4" s="18" t="n">
        <f aca="false">CS4</f>
        <v>118</v>
      </c>
      <c r="CZ4" s="18" t="n">
        <f aca="false">ROUND(AVERAGE(AVERAGE(M4:AM4), MEDIAN(M4:AM4)),0)</f>
        <v>116</v>
      </c>
      <c r="DA4" s="18" t="n">
        <f aca="false">ROUND(AVERAGE(AVERAGE(M4:BG4), MEDIAN(M4:BG4)),0)</f>
        <v>116</v>
      </c>
      <c r="DB4" s="18" t="n">
        <f aca="false">ROUND(AVERAGE(AVERAGE(M4:BV4), MEDIAN(M4:BV4)),0)</f>
        <v>114</v>
      </c>
      <c r="DC4" s="18" t="n">
        <f aca="false">ROUND(AVERAGE(AVERAGE(M4:CI4), MEDIAN(M4:CI4)),0)</f>
        <v>110</v>
      </c>
      <c r="DD4" s="18" t="n">
        <f aca="false">CR4</f>
        <v>109</v>
      </c>
    </row>
    <row r="5" customFormat="false" ht="15.75" hidden="false" customHeight="false" outlineLevel="0" collapsed="false">
      <c r="A5" s="11" t="s">
        <v>188</v>
      </c>
      <c r="B5" s="12" t="s">
        <v>189</v>
      </c>
      <c r="C5" s="11" t="s">
        <v>150</v>
      </c>
      <c r="E5" s="12" t="n">
        <v>700.3</v>
      </c>
      <c r="F5" s="13" t="s">
        <v>190</v>
      </c>
      <c r="G5" s="13" t="s">
        <v>191</v>
      </c>
      <c r="H5" s="13" t="s">
        <v>192</v>
      </c>
      <c r="I5" s="13" t="s">
        <v>193</v>
      </c>
      <c r="J5" s="13" t="s">
        <v>130</v>
      </c>
      <c r="K5" s="13" t="s">
        <v>194</v>
      </c>
      <c r="L5" s="13" t="s">
        <v>123</v>
      </c>
      <c r="M5" s="12" t="n">
        <v>99</v>
      </c>
      <c r="N5" s="13" t="s">
        <v>195</v>
      </c>
      <c r="O5" s="12" t="n">
        <v>142</v>
      </c>
      <c r="P5" s="12" t="n">
        <v>105</v>
      </c>
      <c r="Q5" s="13" t="s">
        <v>119</v>
      </c>
      <c r="R5" s="13" t="s">
        <v>196</v>
      </c>
      <c r="S5" s="13" t="s">
        <v>197</v>
      </c>
      <c r="T5" s="13" t="s">
        <v>198</v>
      </c>
      <c r="U5" s="13" t="s">
        <v>177</v>
      </c>
      <c r="V5" s="12" t="n">
        <v>108</v>
      </c>
      <c r="W5" s="12" t="n">
        <v>115</v>
      </c>
      <c r="X5" s="13" t="s">
        <v>119</v>
      </c>
      <c r="Y5" s="12" t="n">
        <v>96</v>
      </c>
      <c r="Z5" s="12" t="n">
        <v>103</v>
      </c>
      <c r="AA5" s="12" t="n">
        <v>142</v>
      </c>
      <c r="AB5" s="13" t="s">
        <v>199</v>
      </c>
      <c r="AC5" s="13" t="s">
        <v>200</v>
      </c>
      <c r="AD5" s="16"/>
      <c r="AE5" s="12" t="n">
        <v>101</v>
      </c>
      <c r="AF5" s="15" t="n">
        <v>148</v>
      </c>
      <c r="AG5" s="13" t="s">
        <v>161</v>
      </c>
      <c r="AH5" s="13" t="s">
        <v>201</v>
      </c>
      <c r="AI5" s="12" t="n">
        <v>96</v>
      </c>
      <c r="AJ5" s="14" t="s">
        <v>119</v>
      </c>
      <c r="AK5" s="16"/>
      <c r="AL5" s="14" t="s">
        <v>119</v>
      </c>
      <c r="AM5" s="13" t="s">
        <v>202</v>
      </c>
      <c r="AN5" s="16"/>
      <c r="AO5" s="14" t="s">
        <v>119</v>
      </c>
      <c r="AP5" s="12" t="n">
        <v>153</v>
      </c>
      <c r="AQ5" s="14" t="s">
        <v>203</v>
      </c>
      <c r="AR5" s="12" t="n">
        <v>103</v>
      </c>
      <c r="AS5" s="14" t="s">
        <v>119</v>
      </c>
      <c r="AT5" s="12" t="n">
        <v>92</v>
      </c>
      <c r="AU5" s="14" t="s">
        <v>183</v>
      </c>
      <c r="AV5" s="12" t="n">
        <v>112</v>
      </c>
      <c r="AW5" s="13" t="s">
        <v>204</v>
      </c>
      <c r="AX5" s="13"/>
      <c r="AY5" s="13" t="s">
        <v>165</v>
      </c>
      <c r="AZ5" s="13" t="s">
        <v>161</v>
      </c>
      <c r="BA5" s="13" t="s">
        <v>128</v>
      </c>
      <c r="BB5" s="14" t="s">
        <v>119</v>
      </c>
      <c r="BC5" s="12" t="n">
        <v>96</v>
      </c>
      <c r="BD5" s="12" t="n">
        <v>150</v>
      </c>
      <c r="BE5" s="13" t="s">
        <v>205</v>
      </c>
      <c r="BF5" s="12" t="n">
        <v>89</v>
      </c>
      <c r="BG5" s="13" t="s">
        <v>145</v>
      </c>
      <c r="BH5" s="16"/>
      <c r="BI5" s="12" t="n">
        <v>112</v>
      </c>
      <c r="BJ5" s="12" t="n">
        <v>112</v>
      </c>
      <c r="BK5" s="12" t="n">
        <v>138</v>
      </c>
      <c r="BL5" s="12" t="n">
        <v>120</v>
      </c>
      <c r="BM5" s="12" t="n">
        <v>107</v>
      </c>
      <c r="BN5" s="12" t="n">
        <v>127</v>
      </c>
      <c r="BO5" s="12" t="n">
        <v>132</v>
      </c>
      <c r="BP5" s="12" t="n">
        <v>182</v>
      </c>
      <c r="BQ5" s="12" t="n">
        <v>128</v>
      </c>
      <c r="BR5" s="14" t="s">
        <v>119</v>
      </c>
      <c r="BS5" s="15" t="n">
        <v>111</v>
      </c>
      <c r="BT5" s="15" t="n">
        <v>114</v>
      </c>
      <c r="BU5" s="12" t="n">
        <v>106</v>
      </c>
      <c r="BV5" s="12" t="n">
        <v>130</v>
      </c>
      <c r="BW5" s="13" t="s">
        <v>135</v>
      </c>
      <c r="BX5" s="13" t="s">
        <v>185</v>
      </c>
      <c r="BY5" s="13" t="s">
        <v>206</v>
      </c>
      <c r="BZ5" s="12" t="n">
        <v>104</v>
      </c>
      <c r="CA5" s="12" t="n">
        <v>113</v>
      </c>
      <c r="CB5" s="12" t="n">
        <v>110</v>
      </c>
      <c r="CC5" s="12" t="n">
        <v>120</v>
      </c>
      <c r="CD5" s="12" t="n">
        <v>106</v>
      </c>
      <c r="CE5" s="12" t="n">
        <v>110</v>
      </c>
      <c r="CF5" s="12" t="n">
        <v>117</v>
      </c>
      <c r="CG5" s="13" t="s">
        <v>207</v>
      </c>
      <c r="CH5" s="12" t="n">
        <v>90</v>
      </c>
      <c r="CJ5" s="12" t="n">
        <v>106</v>
      </c>
      <c r="CK5" s="12" t="n">
        <v>90</v>
      </c>
      <c r="CL5" s="12" t="n">
        <v>122</v>
      </c>
      <c r="CM5" s="12" t="n">
        <v>72</v>
      </c>
      <c r="CN5" s="12" t="n">
        <v>78</v>
      </c>
      <c r="CO5" s="12" t="n">
        <v>113</v>
      </c>
      <c r="CP5" s="15" t="n">
        <v>150</v>
      </c>
      <c r="CQ5" s="17"/>
      <c r="CR5" s="18" t="n">
        <f aca="false">ROUND(AVERAGE(AVERAGE(M5:CQ5), MEDIAN(M5:CQ5)),0)</f>
        <v>113</v>
      </c>
      <c r="CS5" s="18" t="n">
        <f aca="false">ROUND(AVERAGE(AVERAGE(M5:P5), MEDIAN(M5:P5)),0)</f>
        <v>110</v>
      </c>
      <c r="CT5" s="19" t="n">
        <f aca="false">ROUND(AVERAGE(AVERAGE(S5:AM5), MEDIAN(S5:AM5)),0)</f>
        <v>110</v>
      </c>
      <c r="CU5" s="18" t="n">
        <f aca="false">ROUND(AVERAGE(AVERAGE(AP5:BG5), MEDIAN(AP5:BG5)),0)</f>
        <v>108</v>
      </c>
      <c r="CV5" s="18" t="n">
        <f aca="false">ROUND(AVERAGE(AVERAGE(BI5:BV5), MEDIAN(BI5:BV5)),0)</f>
        <v>122</v>
      </c>
      <c r="CW5" s="19" t="n">
        <f aca="false">ROUND(AVERAGE(AVERAGE(BX5:CI5), MEDIAN(BX5:CI5)),0)</f>
        <v>109</v>
      </c>
      <c r="CX5" s="18" t="n">
        <f aca="false">ROUND(AVERAGE(AVERAGE(CJ5:CQ5), MEDIAN(CJ5:CQ5)),0)</f>
        <v>105</v>
      </c>
      <c r="CY5" s="18" t="n">
        <f aca="false">CS5</f>
        <v>110</v>
      </c>
      <c r="CZ5" s="18" t="n">
        <f aca="false">ROUND(AVERAGE(AVERAGE(M5:AM5), MEDIAN(M5:AM5)),0)</f>
        <v>110</v>
      </c>
      <c r="DA5" s="18" t="n">
        <f aca="false">ROUND(AVERAGE(AVERAGE(M5:BG5), MEDIAN(M5:BG5)),0)</f>
        <v>109</v>
      </c>
      <c r="DB5" s="18" t="n">
        <f aca="false">ROUND(AVERAGE(AVERAGE(M5:BV5), MEDIAN(M5:BV5)),0)</f>
        <v>115</v>
      </c>
      <c r="DC5" s="18" t="n">
        <f aca="false">ROUND(AVERAGE(AVERAGE(M5:CI5), MEDIAN(M5:CI5)),0)</f>
        <v>114</v>
      </c>
      <c r="DD5" s="18" t="n">
        <f aca="false">CR5</f>
        <v>113</v>
      </c>
    </row>
    <row r="6" customFormat="false" ht="15.75" hidden="false" customHeight="false" outlineLevel="0" collapsed="false">
      <c r="A6" s="11" t="s">
        <v>208</v>
      </c>
      <c r="B6" s="12" t="s">
        <v>209</v>
      </c>
      <c r="C6" s="11" t="s">
        <v>210</v>
      </c>
      <c r="E6" s="12" t="n">
        <v>867.3</v>
      </c>
      <c r="F6" s="13" t="s">
        <v>176</v>
      </c>
      <c r="G6" s="13" t="s">
        <v>211</v>
      </c>
      <c r="H6" s="13" t="s">
        <v>212</v>
      </c>
      <c r="I6" s="13" t="s">
        <v>213</v>
      </c>
      <c r="J6" s="13" t="s">
        <v>214</v>
      </c>
      <c r="K6" s="13" t="s">
        <v>184</v>
      </c>
      <c r="L6" s="13" t="s">
        <v>215</v>
      </c>
      <c r="M6" s="12" t="n">
        <v>68</v>
      </c>
      <c r="N6" s="13" t="s">
        <v>216</v>
      </c>
      <c r="O6" s="12" t="n">
        <v>54</v>
      </c>
      <c r="P6" s="12" t="n">
        <v>87</v>
      </c>
      <c r="Q6" s="13" t="s">
        <v>119</v>
      </c>
      <c r="R6" s="13" t="s">
        <v>217</v>
      </c>
      <c r="S6" s="13" t="s">
        <v>218</v>
      </c>
      <c r="T6" s="13" t="s">
        <v>219</v>
      </c>
      <c r="U6" s="13" t="s">
        <v>220</v>
      </c>
      <c r="V6" s="12" t="n">
        <v>102</v>
      </c>
      <c r="W6" s="12" t="n">
        <v>100</v>
      </c>
      <c r="X6" s="13"/>
      <c r="Y6" s="12" t="n">
        <v>62</v>
      </c>
      <c r="Z6" s="12" t="n">
        <v>80</v>
      </c>
      <c r="AA6" s="12" t="n">
        <v>80</v>
      </c>
      <c r="AB6" s="13" t="s">
        <v>141</v>
      </c>
      <c r="AC6" s="13" t="s">
        <v>221</v>
      </c>
      <c r="AD6" s="16"/>
      <c r="AE6" s="12" t="n">
        <v>85</v>
      </c>
      <c r="AF6" s="15" t="n">
        <v>105</v>
      </c>
      <c r="AG6" s="13" t="s">
        <v>204</v>
      </c>
      <c r="AH6" s="13" t="s">
        <v>222</v>
      </c>
      <c r="AI6" s="12" t="n">
        <v>90</v>
      </c>
      <c r="AJ6" s="16"/>
      <c r="AK6" s="16"/>
      <c r="AL6" s="14" t="s">
        <v>119</v>
      </c>
      <c r="AM6" s="13" t="s">
        <v>205</v>
      </c>
      <c r="AN6" s="16"/>
      <c r="AO6" s="14" t="s">
        <v>119</v>
      </c>
      <c r="AP6" s="12" t="n">
        <v>86</v>
      </c>
      <c r="AQ6" s="14" t="s">
        <v>223</v>
      </c>
      <c r="AR6" s="12" t="n">
        <v>104</v>
      </c>
      <c r="AS6" s="16"/>
      <c r="AT6" s="12" t="n">
        <v>65</v>
      </c>
      <c r="AU6" s="14" t="s">
        <v>187</v>
      </c>
      <c r="AV6" s="12" t="n">
        <v>103</v>
      </c>
      <c r="AW6" s="13" t="s">
        <v>224</v>
      </c>
      <c r="AX6" s="13"/>
      <c r="AY6" s="13" t="s">
        <v>214</v>
      </c>
      <c r="AZ6" s="13" t="s">
        <v>225</v>
      </c>
      <c r="BA6" s="13" t="s">
        <v>226</v>
      </c>
      <c r="BB6" s="14" t="s">
        <v>119</v>
      </c>
      <c r="BC6" s="12" t="n">
        <v>99</v>
      </c>
      <c r="BD6" s="12" t="n">
        <v>168</v>
      </c>
      <c r="BE6" s="13" t="s">
        <v>198</v>
      </c>
      <c r="BF6" s="12" t="n">
        <v>88</v>
      </c>
      <c r="BG6" s="13" t="s">
        <v>227</v>
      </c>
      <c r="BH6" s="16"/>
      <c r="BI6" s="12" t="n">
        <v>69</v>
      </c>
      <c r="BJ6" s="12" t="n">
        <v>79</v>
      </c>
      <c r="BK6" s="12" t="n">
        <v>85</v>
      </c>
      <c r="BL6" s="12" t="n">
        <v>100</v>
      </c>
      <c r="BM6" s="12" t="n">
        <v>107</v>
      </c>
      <c r="BN6" s="12" t="n">
        <v>124</v>
      </c>
      <c r="BO6" s="12" t="n">
        <v>91</v>
      </c>
      <c r="BP6" s="12" t="n">
        <v>63</v>
      </c>
      <c r="BQ6" s="12" t="n">
        <v>112</v>
      </c>
      <c r="BR6" s="16"/>
      <c r="BS6" s="15" t="n">
        <v>100</v>
      </c>
      <c r="BT6" s="15" t="n">
        <v>104</v>
      </c>
      <c r="BU6" s="12" t="n">
        <v>51</v>
      </c>
      <c r="BV6" s="12" t="n">
        <v>103</v>
      </c>
      <c r="BW6" s="13" t="s">
        <v>135</v>
      </c>
      <c r="BX6" s="13" t="s">
        <v>175</v>
      </c>
      <c r="BY6" s="13" t="s">
        <v>142</v>
      </c>
      <c r="BZ6" s="12" t="n">
        <v>89</v>
      </c>
      <c r="CA6" s="12" t="n">
        <v>87</v>
      </c>
      <c r="CB6" s="12" t="n">
        <v>89</v>
      </c>
      <c r="CC6" s="12" t="n">
        <v>74</v>
      </c>
      <c r="CD6" s="12" t="n">
        <v>106</v>
      </c>
      <c r="CE6" s="12" t="n">
        <v>110</v>
      </c>
      <c r="CF6" s="12" t="n">
        <v>107</v>
      </c>
      <c r="CG6" s="13" t="s">
        <v>228</v>
      </c>
      <c r="CH6" s="12" t="n">
        <v>82</v>
      </c>
      <c r="CJ6" s="12" t="n">
        <v>80</v>
      </c>
      <c r="CK6" s="12" t="n">
        <v>80</v>
      </c>
      <c r="CL6" s="12" t="n">
        <v>101</v>
      </c>
      <c r="CM6" s="12" t="n">
        <v>59</v>
      </c>
      <c r="CN6" s="12" t="n">
        <v>70</v>
      </c>
      <c r="CO6" s="12" t="n">
        <v>90</v>
      </c>
      <c r="CP6" s="15" t="n">
        <v>94</v>
      </c>
      <c r="CQ6" s="17"/>
      <c r="CR6" s="18" t="n">
        <f aca="false">ROUND(AVERAGE(AVERAGE(M6:CQ6), MEDIAN(M6:CQ6)),0)</f>
        <v>89</v>
      </c>
      <c r="CS6" s="18" t="n">
        <f aca="false">ROUND(AVERAGE(AVERAGE(M6:P6), MEDIAN(M6:P6)),0)</f>
        <v>69</v>
      </c>
      <c r="CT6" s="19" t="n">
        <f aca="false">ROUND(AVERAGE(AVERAGE(S6:AM6), MEDIAN(S6:AM6)),0)</f>
        <v>88</v>
      </c>
      <c r="CU6" s="18" t="n">
        <f aca="false">ROUND(AVERAGE(AVERAGE(AP6:BG6), MEDIAN(AP6:BG6)),0)</f>
        <v>100</v>
      </c>
      <c r="CV6" s="18" t="n">
        <f aca="false">ROUND(AVERAGE(AVERAGE(BI6:BV6), MEDIAN(BI6:BV6)),0)</f>
        <v>96</v>
      </c>
      <c r="CW6" s="19" t="n">
        <f aca="false">ROUND(AVERAGE(AVERAGE(BX6:CI6), MEDIAN(BX6:CI6)),0)</f>
        <v>91</v>
      </c>
      <c r="CX6" s="18" t="n">
        <f aca="false">ROUND(AVERAGE(AVERAGE(CJ6:CQ6), MEDIAN(CJ6:CQ6)),0)</f>
        <v>81</v>
      </c>
      <c r="CY6" s="18" t="n">
        <f aca="false">CS6</f>
        <v>69</v>
      </c>
      <c r="CZ6" s="18" t="n">
        <f aca="false">ROUND(AVERAGE(AVERAGE(M6:AM6), MEDIAN(M6:AM6)),0)</f>
        <v>84</v>
      </c>
      <c r="DA6" s="18" t="n">
        <f aca="false">ROUND(AVERAGE(AVERAGE(M6:BG6), MEDIAN(M6:BG6)),0)</f>
        <v>89</v>
      </c>
      <c r="DB6" s="18" t="n">
        <f aca="false">ROUND(AVERAGE(AVERAGE(M6:BV6), MEDIAN(M6:BV6)),0)</f>
        <v>90</v>
      </c>
      <c r="DC6" s="18" t="n">
        <f aca="false">ROUND(AVERAGE(AVERAGE(M6:CI6), MEDIAN(M6:CI6)),0)</f>
        <v>90</v>
      </c>
      <c r="DD6" s="18" t="n">
        <f aca="false">CR6</f>
        <v>89</v>
      </c>
    </row>
    <row r="7" customFormat="false" ht="15.75" hidden="false" customHeight="false" outlineLevel="0" collapsed="false">
      <c r="A7" s="11" t="s">
        <v>229</v>
      </c>
      <c r="B7" s="12" t="s">
        <v>230</v>
      </c>
      <c r="C7" s="11" t="s">
        <v>199</v>
      </c>
      <c r="E7" s="12" t="n">
        <v>899.2</v>
      </c>
      <c r="F7" s="13" t="s">
        <v>231</v>
      </c>
      <c r="G7" s="13" t="s">
        <v>232</v>
      </c>
      <c r="H7" s="13" t="s">
        <v>233</v>
      </c>
      <c r="I7" s="13" t="s">
        <v>122</v>
      </c>
      <c r="J7" s="13" t="s">
        <v>145</v>
      </c>
      <c r="K7" s="13" t="s">
        <v>234</v>
      </c>
      <c r="L7" s="13" t="s">
        <v>235</v>
      </c>
      <c r="M7" s="12" t="n">
        <v>142</v>
      </c>
      <c r="N7" s="13" t="s">
        <v>236</v>
      </c>
      <c r="O7" s="12" t="n">
        <v>97</v>
      </c>
      <c r="P7" s="12" t="n">
        <v>85</v>
      </c>
      <c r="Q7" s="13"/>
      <c r="R7" s="13" t="s">
        <v>237</v>
      </c>
      <c r="S7" s="13" t="s">
        <v>238</v>
      </c>
      <c r="T7" s="13" t="s">
        <v>239</v>
      </c>
      <c r="U7" s="13" t="s">
        <v>240</v>
      </c>
      <c r="V7" s="12" t="n">
        <v>189</v>
      </c>
      <c r="W7" s="12" t="n">
        <v>184</v>
      </c>
      <c r="X7" s="13" t="s">
        <v>119</v>
      </c>
      <c r="Y7" s="12" t="n">
        <v>143</v>
      </c>
      <c r="Z7" s="12" t="n">
        <v>246</v>
      </c>
      <c r="AA7" s="12" t="n">
        <v>198</v>
      </c>
      <c r="AB7" s="13" t="s">
        <v>241</v>
      </c>
      <c r="AC7" s="13" t="s">
        <v>242</v>
      </c>
      <c r="AD7" s="16"/>
      <c r="AE7" s="12" t="n">
        <v>135</v>
      </c>
      <c r="AF7" s="15" t="n">
        <v>142</v>
      </c>
      <c r="AG7" s="13" t="s">
        <v>231</v>
      </c>
      <c r="AH7" s="13" t="s">
        <v>243</v>
      </c>
      <c r="AI7" s="12" t="n">
        <v>106</v>
      </c>
      <c r="AJ7" s="16"/>
      <c r="AK7" s="16"/>
      <c r="AL7" s="14" t="s">
        <v>119</v>
      </c>
      <c r="AM7" s="13" t="s">
        <v>175</v>
      </c>
      <c r="AN7" s="14" t="s">
        <v>119</v>
      </c>
      <c r="AO7" s="14" t="s">
        <v>119</v>
      </c>
      <c r="AP7" s="12" t="n">
        <v>80</v>
      </c>
      <c r="AQ7" s="14" t="s">
        <v>136</v>
      </c>
      <c r="AR7" s="12" t="n">
        <v>110</v>
      </c>
      <c r="AS7" s="14" t="s">
        <v>119</v>
      </c>
      <c r="AT7" s="12" t="n">
        <v>77</v>
      </c>
      <c r="AU7" s="14" t="s">
        <v>244</v>
      </c>
      <c r="AV7" s="12" t="n">
        <v>144</v>
      </c>
      <c r="AW7" s="13" t="s">
        <v>122</v>
      </c>
      <c r="AX7" s="13"/>
      <c r="AY7" s="13" t="s">
        <v>214</v>
      </c>
      <c r="AZ7" s="13" t="s">
        <v>152</v>
      </c>
      <c r="BA7" s="13" t="s">
        <v>158</v>
      </c>
      <c r="BB7" s="14" t="s">
        <v>119</v>
      </c>
      <c r="BC7" s="12" t="n">
        <v>86</v>
      </c>
      <c r="BD7" s="12" t="n">
        <v>238</v>
      </c>
      <c r="BE7" s="13" t="s">
        <v>245</v>
      </c>
      <c r="BF7" s="12" t="n">
        <v>90</v>
      </c>
      <c r="BG7" s="13" t="s">
        <v>217</v>
      </c>
      <c r="BH7" s="14" t="s">
        <v>119</v>
      </c>
      <c r="BI7" s="12" t="n">
        <v>134</v>
      </c>
      <c r="BJ7" s="12" t="n">
        <v>110</v>
      </c>
      <c r="BK7" s="12" t="n">
        <v>121</v>
      </c>
      <c r="BL7" s="12" t="n">
        <v>134</v>
      </c>
      <c r="BM7" s="12" t="n">
        <v>176</v>
      </c>
      <c r="BN7" s="12" t="n">
        <v>158</v>
      </c>
      <c r="BO7" s="12" t="n">
        <v>120</v>
      </c>
      <c r="BP7" s="12" t="n">
        <v>86</v>
      </c>
      <c r="BQ7" s="12" t="n">
        <v>160</v>
      </c>
      <c r="BR7" s="16"/>
      <c r="BS7" s="15" t="n">
        <v>113</v>
      </c>
      <c r="BT7" s="15" t="n">
        <v>150</v>
      </c>
      <c r="BU7" s="12" t="n">
        <v>169</v>
      </c>
      <c r="BV7" s="12" t="n">
        <v>106</v>
      </c>
      <c r="BW7" s="13" t="s">
        <v>135</v>
      </c>
      <c r="BX7" s="13" t="s">
        <v>157</v>
      </c>
      <c r="BY7" s="13" t="s">
        <v>171</v>
      </c>
      <c r="BZ7" s="12" t="n">
        <v>120</v>
      </c>
      <c r="CA7" s="12" t="n">
        <v>111</v>
      </c>
      <c r="CB7" s="12" t="n">
        <v>111</v>
      </c>
      <c r="CC7" s="12" t="n">
        <v>119</v>
      </c>
      <c r="CD7" s="12" t="n">
        <v>131</v>
      </c>
      <c r="CE7" s="12" t="n">
        <v>138</v>
      </c>
      <c r="CF7" s="12" t="n">
        <v>117</v>
      </c>
      <c r="CG7" s="13" t="s">
        <v>245</v>
      </c>
      <c r="CH7" s="12" t="n">
        <v>108</v>
      </c>
      <c r="CJ7" s="12" t="n">
        <v>97</v>
      </c>
      <c r="CK7" s="12" t="n">
        <v>100</v>
      </c>
      <c r="CL7" s="12" t="n">
        <v>92</v>
      </c>
      <c r="CM7" s="12" t="n">
        <v>97</v>
      </c>
      <c r="CN7" s="12" t="n">
        <v>163</v>
      </c>
      <c r="CO7" s="12" t="n">
        <v>135</v>
      </c>
      <c r="CP7" s="15" t="n">
        <v>93</v>
      </c>
      <c r="CQ7" s="17"/>
      <c r="CR7" s="18" t="n">
        <f aca="false">ROUND(AVERAGE(AVERAGE(M7:CQ7), MEDIAN(M7:CQ7)),0)</f>
        <v>125</v>
      </c>
      <c r="CS7" s="18" t="n">
        <f aca="false">ROUND(AVERAGE(AVERAGE(M7:P7), MEDIAN(M7:P7)),0)</f>
        <v>103</v>
      </c>
      <c r="CT7" s="19" t="n">
        <f aca="false">ROUND(AVERAGE(AVERAGE(S7:AM7), MEDIAN(S7:AM7)),0)</f>
        <v>166</v>
      </c>
      <c r="CU7" s="18" t="n">
        <f aca="false">ROUND(AVERAGE(AVERAGE(AP7:BG7), MEDIAN(AP7:BG7)),0)</f>
        <v>104</v>
      </c>
      <c r="CV7" s="18" t="n">
        <f aca="false">ROUND(AVERAGE(AVERAGE(BI7:BV7), MEDIAN(BI7:BV7)),0)</f>
        <v>134</v>
      </c>
      <c r="CW7" s="19" t="n">
        <f aca="false">ROUND(AVERAGE(AVERAGE(BX7:CI7), MEDIAN(BX7:CI7)),0)</f>
        <v>119</v>
      </c>
      <c r="CX7" s="18" t="n">
        <f aca="false">ROUND(AVERAGE(AVERAGE(CJ7:CQ7), MEDIAN(CJ7:CQ7)),0)</f>
        <v>104</v>
      </c>
      <c r="CY7" s="18" t="n">
        <f aca="false">CS7</f>
        <v>103</v>
      </c>
      <c r="CZ7" s="18" t="n">
        <f aca="false">ROUND(AVERAGE(AVERAGE(M7:AM7), MEDIAN(M7:AM7)),0)</f>
        <v>147</v>
      </c>
      <c r="DA7" s="18" t="n">
        <f aca="false">ROUND(AVERAGE(AVERAGE(M7:BG7), MEDIAN(M7:BG7)),0)</f>
        <v>138</v>
      </c>
      <c r="DB7" s="18" t="n">
        <f aca="false">ROUND(AVERAGE(AVERAGE(M7:BV7), MEDIAN(M7:BV7)),0)</f>
        <v>135</v>
      </c>
      <c r="DC7" s="18" t="n">
        <f aca="false">ROUND(AVERAGE(AVERAGE(M7:CI7), MEDIAN(M7:CI7)),0)</f>
        <v>127</v>
      </c>
      <c r="DD7" s="18" t="n">
        <f aca="false">CR7</f>
        <v>125</v>
      </c>
    </row>
    <row r="8" customFormat="false" ht="15.75" hidden="false" customHeight="false" outlineLevel="0" collapsed="false">
      <c r="A8" s="11" t="s">
        <v>246</v>
      </c>
      <c r="B8" s="12" t="s">
        <v>247</v>
      </c>
      <c r="C8" s="11" t="s">
        <v>248</v>
      </c>
      <c r="E8" s="12" t="n">
        <v>813.8</v>
      </c>
      <c r="F8" s="13" t="s">
        <v>249</v>
      </c>
      <c r="G8" s="13" t="s">
        <v>250</v>
      </c>
      <c r="H8" s="13" t="s">
        <v>251</v>
      </c>
      <c r="I8" s="13" t="s">
        <v>252</v>
      </c>
      <c r="J8" s="13" t="s">
        <v>253</v>
      </c>
      <c r="K8" s="13" t="s">
        <v>227</v>
      </c>
      <c r="L8" s="13" t="s">
        <v>198</v>
      </c>
      <c r="M8" s="12" t="n">
        <v>87</v>
      </c>
      <c r="N8" s="13" t="s">
        <v>254</v>
      </c>
      <c r="O8" s="12" t="n">
        <v>60</v>
      </c>
      <c r="P8" s="12" t="n">
        <v>101</v>
      </c>
      <c r="Q8" s="13" t="s">
        <v>119</v>
      </c>
      <c r="R8" s="13" t="s">
        <v>175</v>
      </c>
      <c r="S8" s="13"/>
      <c r="T8" s="13" t="s">
        <v>145</v>
      </c>
      <c r="U8" s="13"/>
      <c r="V8" s="12" t="n">
        <v>108</v>
      </c>
      <c r="W8" s="12" t="n">
        <v>87</v>
      </c>
      <c r="X8" s="13" t="s">
        <v>119</v>
      </c>
      <c r="Y8" s="12" t="n">
        <v>139</v>
      </c>
      <c r="Z8" s="12" t="n">
        <v>106</v>
      </c>
      <c r="AA8" s="12" t="n">
        <v>78</v>
      </c>
      <c r="AB8" s="13" t="s">
        <v>149</v>
      </c>
      <c r="AC8" s="13" t="s">
        <v>255</v>
      </c>
      <c r="AD8" s="16"/>
      <c r="AE8" s="12" t="n">
        <v>88</v>
      </c>
      <c r="AF8" s="15" t="n">
        <v>123</v>
      </c>
      <c r="AG8" s="13" t="s">
        <v>256</v>
      </c>
      <c r="AH8" s="13"/>
      <c r="AI8" s="12" t="n">
        <v>95</v>
      </c>
      <c r="AJ8" s="16"/>
      <c r="AK8" s="16"/>
      <c r="AL8" s="14" t="s">
        <v>119</v>
      </c>
      <c r="AM8" s="13" t="s">
        <v>161</v>
      </c>
      <c r="AN8" s="16"/>
      <c r="AO8" s="14"/>
      <c r="AP8" s="12" t="n">
        <v>106</v>
      </c>
      <c r="AQ8" s="14" t="s">
        <v>257</v>
      </c>
      <c r="AR8" s="12" t="n">
        <v>105</v>
      </c>
      <c r="AS8" s="16"/>
      <c r="AT8" s="12" t="n">
        <v>103</v>
      </c>
      <c r="AU8" s="14" t="s">
        <v>258</v>
      </c>
      <c r="AV8" s="12" t="n">
        <v>104</v>
      </c>
      <c r="AW8" s="13"/>
      <c r="AX8" s="13" t="s">
        <v>259</v>
      </c>
      <c r="AY8" s="13" t="s">
        <v>175</v>
      </c>
      <c r="AZ8" s="13" t="s">
        <v>142</v>
      </c>
      <c r="BA8" s="13" t="s">
        <v>119</v>
      </c>
      <c r="BB8" s="14" t="s">
        <v>119</v>
      </c>
      <c r="BC8" s="12" t="n">
        <v>101</v>
      </c>
      <c r="BD8" s="12" t="n">
        <v>81</v>
      </c>
      <c r="BE8" s="13"/>
      <c r="BF8" s="12" t="n">
        <v>87</v>
      </c>
      <c r="BG8" s="20"/>
      <c r="BH8" s="16"/>
      <c r="BI8" s="12" t="n">
        <v>94</v>
      </c>
      <c r="BJ8" s="12" t="n">
        <v>118</v>
      </c>
      <c r="BK8" s="12" t="n">
        <v>76</v>
      </c>
      <c r="BL8" s="12" t="n">
        <v>83</v>
      </c>
      <c r="BM8" s="12" t="n">
        <v>81</v>
      </c>
      <c r="BN8" s="12" t="n">
        <v>94</v>
      </c>
      <c r="BO8" s="12" t="n">
        <v>87</v>
      </c>
      <c r="BP8" s="12" t="n">
        <v>52</v>
      </c>
      <c r="BQ8" s="12" t="n">
        <v>101</v>
      </c>
      <c r="BR8" s="16"/>
      <c r="BS8" s="15" t="n">
        <v>115</v>
      </c>
      <c r="BT8" s="15" t="n">
        <v>104</v>
      </c>
      <c r="BU8" s="12" t="n">
        <v>78</v>
      </c>
      <c r="BV8" s="12" t="n">
        <v>95</v>
      </c>
      <c r="BW8" s="13" t="s">
        <v>135</v>
      </c>
      <c r="BX8" s="13" t="s">
        <v>244</v>
      </c>
      <c r="BY8" s="13" t="s">
        <v>260</v>
      </c>
      <c r="BZ8" s="12" t="n">
        <v>105</v>
      </c>
      <c r="CA8" s="12" t="n">
        <v>98</v>
      </c>
      <c r="CB8" s="12" t="n">
        <v>100</v>
      </c>
      <c r="CC8" s="12" t="n">
        <v>106</v>
      </c>
      <c r="CD8" s="12" t="n">
        <v>101</v>
      </c>
      <c r="CE8" s="12" t="n">
        <v>103</v>
      </c>
      <c r="CF8" s="12" t="n">
        <v>117</v>
      </c>
      <c r="CG8" s="13" t="s">
        <v>261</v>
      </c>
      <c r="CH8" s="12" t="n">
        <v>120</v>
      </c>
      <c r="CJ8" s="12" t="n">
        <v>94</v>
      </c>
      <c r="CK8" s="12" t="n">
        <v>97</v>
      </c>
      <c r="CL8" s="12" t="n">
        <v>109</v>
      </c>
      <c r="CM8" s="12" t="n">
        <v>109</v>
      </c>
      <c r="CN8" s="12" t="n">
        <v>111</v>
      </c>
      <c r="CO8" s="12" t="n">
        <v>89</v>
      </c>
      <c r="CP8" s="15" t="n">
        <v>131</v>
      </c>
      <c r="CQ8" s="17"/>
      <c r="CR8" s="18" t="n">
        <f aca="false">ROUND(AVERAGE(AVERAGE(M8:CQ8), MEDIAN(M8:CQ8)),0)</f>
        <v>100</v>
      </c>
      <c r="CS8" s="18" t="n">
        <f aca="false">ROUND(AVERAGE(AVERAGE(M8:P8), MEDIAN(M8:P8)),0)</f>
        <v>85</v>
      </c>
      <c r="CT8" s="19" t="n">
        <f aca="false">ROUND(AVERAGE(AVERAGE(S8:AM8), MEDIAN(S8:AM8)),0)</f>
        <v>102</v>
      </c>
      <c r="CU8" s="18" t="n">
        <f aca="false">ROUND(AVERAGE(AVERAGE(AP8:BG8), MEDIAN(AP8:BG8)),0)</f>
        <v>101</v>
      </c>
      <c r="CV8" s="18" t="n">
        <f aca="false">ROUND(AVERAGE(AVERAGE(BI8:BV8), MEDIAN(BI8:BV8)),0)</f>
        <v>92</v>
      </c>
      <c r="CW8" s="19" t="n">
        <f aca="false">ROUND(AVERAGE(AVERAGE(BX8:CI8), MEDIAN(BX8:CI8)),0)</f>
        <v>105</v>
      </c>
      <c r="CX8" s="18" t="n">
        <f aca="false">ROUND(AVERAGE(AVERAGE(CJ8:CQ8), MEDIAN(CJ8:CQ8)),0)</f>
        <v>107</v>
      </c>
      <c r="CY8" s="18" t="n">
        <f aca="false">CS8</f>
        <v>85</v>
      </c>
      <c r="CZ8" s="18" t="n">
        <f aca="false">ROUND(AVERAGE(AVERAGE(M8:AM8), MEDIAN(M8:AM8)),0)</f>
        <v>96</v>
      </c>
      <c r="DA8" s="18" t="n">
        <f aca="false">ROUND(AVERAGE(AVERAGE(M8:BG8), MEDIAN(M8:BG8)),0)</f>
        <v>99</v>
      </c>
      <c r="DB8" s="18" t="n">
        <f aca="false">ROUND(AVERAGE(AVERAGE(M8:BV8), MEDIAN(M8:BV8)),0)</f>
        <v>95</v>
      </c>
      <c r="DC8" s="18" t="n">
        <f aca="false">ROUND(AVERAGE(AVERAGE(M8:CI8), MEDIAN(M8:CI8)),0)</f>
        <v>99</v>
      </c>
      <c r="DD8" s="18" t="n">
        <f aca="false">CR8</f>
        <v>100</v>
      </c>
    </row>
    <row r="9" customFormat="false" ht="15.75" hidden="false" customHeight="false" outlineLevel="0" collapsed="false">
      <c r="A9" s="11" t="s">
        <v>262</v>
      </c>
      <c r="B9" s="12" t="s">
        <v>263</v>
      </c>
      <c r="C9" s="11" t="s">
        <v>149</v>
      </c>
      <c r="E9" s="12" t="n">
        <v>728.3</v>
      </c>
      <c r="F9" s="13" t="s">
        <v>190</v>
      </c>
      <c r="G9" s="13" t="s">
        <v>264</v>
      </c>
      <c r="H9" s="13" t="s">
        <v>265</v>
      </c>
      <c r="I9" s="13" t="s">
        <v>161</v>
      </c>
      <c r="J9" s="13" t="s">
        <v>266</v>
      </c>
      <c r="K9" s="13" t="s">
        <v>267</v>
      </c>
      <c r="L9" s="13" t="s">
        <v>151</v>
      </c>
      <c r="M9" s="12" t="n">
        <v>110</v>
      </c>
      <c r="N9" s="13" t="s">
        <v>268</v>
      </c>
      <c r="O9" s="12" t="n">
        <v>121</v>
      </c>
      <c r="P9" s="12" t="n">
        <v>115</v>
      </c>
      <c r="Q9" s="13" t="s">
        <v>119</v>
      </c>
      <c r="R9" s="13" t="s">
        <v>269</v>
      </c>
      <c r="S9" s="13"/>
      <c r="T9" s="13" t="s">
        <v>136</v>
      </c>
      <c r="U9" s="13" t="s">
        <v>145</v>
      </c>
      <c r="V9" s="12" t="n">
        <v>100</v>
      </c>
      <c r="W9" s="12" t="n">
        <v>90</v>
      </c>
      <c r="X9" s="13" t="s">
        <v>119</v>
      </c>
      <c r="Y9" s="12" t="n">
        <v>124</v>
      </c>
      <c r="Z9" s="12" t="n">
        <v>69</v>
      </c>
      <c r="AA9" s="12" t="n">
        <v>68</v>
      </c>
      <c r="AB9" s="13" t="s">
        <v>150</v>
      </c>
      <c r="AC9" s="13" t="s">
        <v>270</v>
      </c>
      <c r="AD9" s="14" t="s">
        <v>119</v>
      </c>
      <c r="AE9" s="12" t="n">
        <v>83</v>
      </c>
      <c r="AF9" s="15" t="n">
        <v>83</v>
      </c>
      <c r="AG9" s="13" t="s">
        <v>142</v>
      </c>
      <c r="AH9" s="13"/>
      <c r="AI9" s="12" t="n">
        <v>98</v>
      </c>
      <c r="AJ9" s="16"/>
      <c r="AK9" s="16"/>
      <c r="AL9" s="14" t="s">
        <v>119</v>
      </c>
      <c r="AM9" s="13" t="s">
        <v>271</v>
      </c>
      <c r="AN9" s="16"/>
      <c r="AO9" s="14" t="s">
        <v>119</v>
      </c>
      <c r="AP9" s="12" t="n">
        <v>75</v>
      </c>
      <c r="AQ9" s="14" t="s">
        <v>202</v>
      </c>
      <c r="AR9" s="12" t="n">
        <v>102</v>
      </c>
      <c r="AS9" s="16"/>
      <c r="AT9" s="12" t="n">
        <v>60</v>
      </c>
      <c r="AU9" s="14" t="s">
        <v>258</v>
      </c>
      <c r="AV9" s="12" t="n">
        <v>106</v>
      </c>
      <c r="AW9" s="13"/>
      <c r="AX9" s="13" t="s">
        <v>181</v>
      </c>
      <c r="AY9" s="13" t="s">
        <v>198</v>
      </c>
      <c r="AZ9" s="13" t="s">
        <v>180</v>
      </c>
      <c r="BA9" s="13" t="s">
        <v>272</v>
      </c>
      <c r="BB9" s="14"/>
      <c r="BC9" s="12" t="n">
        <v>94</v>
      </c>
      <c r="BD9" s="12" t="n">
        <v>53</v>
      </c>
      <c r="BE9" s="13"/>
      <c r="BF9" s="12" t="n">
        <v>95</v>
      </c>
      <c r="BG9" s="20"/>
      <c r="BH9" s="16"/>
      <c r="BI9" s="12" t="n">
        <v>103</v>
      </c>
      <c r="BJ9" s="12" t="n">
        <v>116</v>
      </c>
      <c r="BK9" s="12" t="n">
        <v>76</v>
      </c>
      <c r="BL9" s="12" t="n">
        <v>100</v>
      </c>
      <c r="BM9" s="12" t="n">
        <v>100</v>
      </c>
      <c r="BN9" s="12" t="n">
        <v>96</v>
      </c>
      <c r="BO9" s="12" t="n">
        <v>108</v>
      </c>
      <c r="BP9" s="12" t="n">
        <v>90</v>
      </c>
      <c r="BQ9" s="12" t="n">
        <v>83</v>
      </c>
      <c r="BR9" s="16"/>
      <c r="BS9" s="15" t="n">
        <v>102</v>
      </c>
      <c r="BT9" s="15" t="n">
        <v>102</v>
      </c>
      <c r="BU9" s="12" t="n">
        <v>119</v>
      </c>
      <c r="BV9" s="12" t="n">
        <v>87</v>
      </c>
      <c r="BW9" s="13" t="s">
        <v>135</v>
      </c>
      <c r="BX9" s="13" t="s">
        <v>126</v>
      </c>
      <c r="BY9" s="13" t="s">
        <v>152</v>
      </c>
      <c r="BZ9" s="12" t="n">
        <v>92</v>
      </c>
      <c r="CA9" s="12" t="n">
        <v>92</v>
      </c>
      <c r="CB9" s="12" t="n">
        <v>93</v>
      </c>
      <c r="CC9" s="12" t="n">
        <v>115</v>
      </c>
      <c r="CD9" s="12" t="n">
        <v>91</v>
      </c>
      <c r="CE9" s="12" t="n">
        <v>93</v>
      </c>
      <c r="CF9" s="12" t="n">
        <v>101</v>
      </c>
      <c r="CG9" s="13" t="s">
        <v>225</v>
      </c>
      <c r="CH9" s="12" t="n">
        <v>111</v>
      </c>
      <c r="CJ9" s="12" t="n">
        <v>94</v>
      </c>
      <c r="CK9" s="12" t="n">
        <v>99</v>
      </c>
      <c r="CL9" s="12" t="n">
        <v>92</v>
      </c>
      <c r="CM9" s="12" t="n">
        <v>115</v>
      </c>
      <c r="CN9" s="12" t="n">
        <v>110</v>
      </c>
      <c r="CO9" s="12" t="n">
        <v>100</v>
      </c>
      <c r="CP9" s="15" t="n">
        <v>107</v>
      </c>
      <c r="CQ9" s="17"/>
      <c r="CR9" s="18" t="n">
        <f aca="false">ROUND(AVERAGE(AVERAGE(M9:CQ9), MEDIAN(M9:CQ9)),0)</f>
        <v>97</v>
      </c>
      <c r="CS9" s="18" t="n">
        <f aca="false">ROUND(AVERAGE(AVERAGE(M9:P9), MEDIAN(M9:P9)),0)</f>
        <v>115</v>
      </c>
      <c r="CT9" s="19" t="n">
        <f aca="false">ROUND(AVERAGE(AVERAGE(S9:AM9), MEDIAN(S9:AM9)),0)</f>
        <v>88</v>
      </c>
      <c r="CU9" s="18" t="n">
        <f aca="false">ROUND(AVERAGE(AVERAGE(AP9:BG9), MEDIAN(AP9:BG9)),0)</f>
        <v>89</v>
      </c>
      <c r="CV9" s="18" t="n">
        <f aca="false">ROUND(AVERAGE(AVERAGE(BI9:BV9), MEDIAN(BI9:BV9)),0)</f>
        <v>99</v>
      </c>
      <c r="CW9" s="19" t="n">
        <f aca="false">ROUND(AVERAGE(AVERAGE(BX9:CI9), MEDIAN(BX9:CI9)),0)</f>
        <v>96</v>
      </c>
      <c r="CX9" s="18" t="n">
        <f aca="false">ROUND(AVERAGE(AVERAGE(CJ9:CQ9), MEDIAN(CJ9:CQ9)),0)</f>
        <v>101</v>
      </c>
      <c r="CY9" s="18" t="n">
        <f aca="false">CS9</f>
        <v>115</v>
      </c>
      <c r="CZ9" s="18" t="n">
        <f aca="false">ROUND(AVERAGE(AVERAGE(M9:AM9), MEDIAN(M9:AM9)),0)</f>
        <v>97</v>
      </c>
      <c r="DA9" s="18" t="n">
        <f aca="false">ROUND(AVERAGE(AVERAGE(M9:BG9), MEDIAN(M9:BG9)),0)</f>
        <v>93</v>
      </c>
      <c r="DB9" s="18" t="n">
        <f aca="false">ROUND(AVERAGE(AVERAGE(M9:BV9), MEDIAN(M9:BV9)),0)</f>
        <v>96</v>
      </c>
      <c r="DC9" s="18" t="n">
        <f aca="false">ROUND(AVERAGE(AVERAGE(M9:CI9), MEDIAN(M9:CI9)),0)</f>
        <v>96</v>
      </c>
      <c r="DD9" s="18" t="n">
        <f aca="false">CR9</f>
        <v>97</v>
      </c>
    </row>
    <row r="10" customFormat="false" ht="15.75" hidden="false" customHeight="false" outlineLevel="0" collapsed="false">
      <c r="A10" s="11" t="s">
        <v>273</v>
      </c>
      <c r="B10" s="12" t="s">
        <v>274</v>
      </c>
      <c r="C10" s="11" t="s">
        <v>275</v>
      </c>
      <c r="E10" s="12" t="n">
        <v>812.2</v>
      </c>
      <c r="F10" s="13" t="s">
        <v>267</v>
      </c>
      <c r="G10" s="13" t="s">
        <v>276</v>
      </c>
      <c r="H10" s="13" t="s">
        <v>277</v>
      </c>
      <c r="I10" s="13" t="s">
        <v>255</v>
      </c>
      <c r="J10" s="13" t="s">
        <v>228</v>
      </c>
      <c r="K10" s="13" t="s">
        <v>124</v>
      </c>
      <c r="L10" s="13" t="s">
        <v>200</v>
      </c>
      <c r="M10" s="12" t="n">
        <v>70</v>
      </c>
      <c r="N10" s="13" t="s">
        <v>198</v>
      </c>
      <c r="O10" s="12" t="n">
        <v>71</v>
      </c>
      <c r="P10" s="12" t="n">
        <v>94</v>
      </c>
      <c r="Q10" s="13" t="s">
        <v>119</v>
      </c>
      <c r="R10" s="13" t="s">
        <v>153</v>
      </c>
      <c r="S10" s="13"/>
      <c r="T10" s="13" t="s">
        <v>177</v>
      </c>
      <c r="U10" s="13" t="s">
        <v>155</v>
      </c>
      <c r="V10" s="12" t="n">
        <v>63</v>
      </c>
      <c r="W10" s="12" t="n">
        <v>63</v>
      </c>
      <c r="X10" s="13"/>
      <c r="Y10" s="12" t="n">
        <v>63</v>
      </c>
      <c r="Z10" s="12" t="n">
        <v>55</v>
      </c>
      <c r="AA10" s="12" t="n">
        <v>48</v>
      </c>
      <c r="AB10" s="13" t="s">
        <v>168</v>
      </c>
      <c r="AC10" s="13" t="s">
        <v>278</v>
      </c>
      <c r="AD10" s="16"/>
      <c r="AE10" s="12" t="n">
        <v>76</v>
      </c>
      <c r="AF10" s="15" t="n">
        <v>47</v>
      </c>
      <c r="AG10" s="13" t="s">
        <v>224</v>
      </c>
      <c r="AH10" s="13"/>
      <c r="AI10" s="12" t="n">
        <v>86</v>
      </c>
      <c r="AJ10" s="16"/>
      <c r="AK10" s="16"/>
      <c r="AL10" s="14" t="s">
        <v>119</v>
      </c>
      <c r="AM10" s="13" t="s">
        <v>198</v>
      </c>
      <c r="AN10" s="16"/>
      <c r="AO10" s="14" t="s">
        <v>119</v>
      </c>
      <c r="AP10" s="12" t="n">
        <v>63</v>
      </c>
      <c r="AQ10" s="14" t="s">
        <v>156</v>
      </c>
      <c r="AR10" s="12" t="n">
        <v>99</v>
      </c>
      <c r="AS10" s="16"/>
      <c r="AT10" s="12" t="n">
        <v>117</v>
      </c>
      <c r="AU10" s="14" t="s">
        <v>253</v>
      </c>
      <c r="AV10" s="12" t="n">
        <v>80</v>
      </c>
      <c r="AW10" s="13"/>
      <c r="AX10" s="13" t="s">
        <v>155</v>
      </c>
      <c r="AY10" s="13" t="s">
        <v>180</v>
      </c>
      <c r="AZ10" s="13" t="s">
        <v>244</v>
      </c>
      <c r="BA10" s="13" t="s">
        <v>255</v>
      </c>
      <c r="BB10" s="14" t="s">
        <v>119</v>
      </c>
      <c r="BC10" s="12" t="n">
        <v>105</v>
      </c>
      <c r="BD10" s="12" t="n">
        <v>42</v>
      </c>
      <c r="BE10" s="13"/>
      <c r="BF10" s="12" t="n">
        <v>102</v>
      </c>
      <c r="BG10" s="20"/>
      <c r="BH10" s="16"/>
      <c r="BI10" s="12" t="n">
        <v>76</v>
      </c>
      <c r="BJ10" s="12" t="n">
        <v>102</v>
      </c>
      <c r="BK10" s="12" t="n">
        <v>58</v>
      </c>
      <c r="BL10" s="12" t="n">
        <v>87</v>
      </c>
      <c r="BM10" s="12" t="n">
        <v>77</v>
      </c>
      <c r="BN10" s="12" t="n">
        <v>82</v>
      </c>
      <c r="BO10" s="12" t="n">
        <v>75</v>
      </c>
      <c r="BP10" s="12" t="n">
        <v>75</v>
      </c>
      <c r="BQ10" s="12" t="n">
        <v>53</v>
      </c>
      <c r="BR10" s="16"/>
      <c r="BS10" s="15" t="n">
        <v>84</v>
      </c>
      <c r="BT10" s="15" t="n">
        <v>75</v>
      </c>
      <c r="BU10" s="12" t="n">
        <v>62</v>
      </c>
      <c r="BV10" s="12" t="n">
        <v>86</v>
      </c>
      <c r="BW10" s="13" t="s">
        <v>135</v>
      </c>
      <c r="BX10" s="13" t="s">
        <v>126</v>
      </c>
      <c r="BY10" s="13" t="s">
        <v>177</v>
      </c>
      <c r="BZ10" s="12" t="n">
        <v>89</v>
      </c>
      <c r="CA10" s="12" t="n">
        <v>92</v>
      </c>
      <c r="CB10" s="12" t="n">
        <v>82</v>
      </c>
      <c r="CC10" s="12" t="n">
        <v>90</v>
      </c>
      <c r="CD10" s="12" t="n">
        <v>85</v>
      </c>
      <c r="CE10" s="12" t="n">
        <v>84</v>
      </c>
      <c r="CF10" s="12" t="n">
        <v>82</v>
      </c>
      <c r="CG10" s="13" t="s">
        <v>151</v>
      </c>
      <c r="CH10" s="12" t="n">
        <v>100</v>
      </c>
      <c r="CJ10" s="12" t="n">
        <v>83</v>
      </c>
      <c r="CK10" s="12" t="n">
        <v>77</v>
      </c>
      <c r="CL10" s="12" t="n">
        <v>74</v>
      </c>
      <c r="CM10" s="12" t="n">
        <v>112</v>
      </c>
      <c r="CN10" s="12" t="n">
        <v>84</v>
      </c>
      <c r="CO10" s="12" t="n">
        <v>104</v>
      </c>
      <c r="CP10" s="15" t="n">
        <v>100</v>
      </c>
      <c r="CQ10" s="17"/>
      <c r="CR10" s="18" t="n">
        <f aca="false">ROUND(AVERAGE(AVERAGE(M10:CQ10), MEDIAN(M10:CQ10)),0)</f>
        <v>81</v>
      </c>
      <c r="CS10" s="18" t="n">
        <f aca="false">ROUND(AVERAGE(AVERAGE(M10:P10), MEDIAN(M10:P10)),0)</f>
        <v>75</v>
      </c>
      <c r="CT10" s="19" t="n">
        <f aca="false">ROUND(AVERAGE(AVERAGE(S10:AM10), MEDIAN(S10:AM10)),0)</f>
        <v>63</v>
      </c>
      <c r="CU10" s="18" t="n">
        <f aca="false">ROUND(AVERAGE(AVERAGE(AP10:BG10), MEDIAN(AP10:BG10)),0)</f>
        <v>93</v>
      </c>
      <c r="CV10" s="18" t="n">
        <f aca="false">ROUND(AVERAGE(AVERAGE(BI10:BV10), MEDIAN(BI10:BV10)),0)</f>
        <v>76</v>
      </c>
      <c r="CW10" s="19" t="n">
        <f aca="false">ROUND(AVERAGE(AVERAGE(BX10:CI10), MEDIAN(BX10:CI10)),0)</f>
        <v>88</v>
      </c>
      <c r="CX10" s="18" t="n">
        <f aca="false">ROUND(AVERAGE(AVERAGE(CJ10:CQ10), MEDIAN(CJ10:CQ10)),0)</f>
        <v>87</v>
      </c>
      <c r="CY10" s="18" t="n">
        <f aca="false">CS10</f>
        <v>75</v>
      </c>
      <c r="CZ10" s="18" t="n">
        <f aca="false">ROUND(AVERAGE(AVERAGE(M10:AM10), MEDIAN(M10:AM10)),0)</f>
        <v>65</v>
      </c>
      <c r="DA10" s="18" t="n">
        <f aca="false">ROUND(AVERAGE(AVERAGE(M10:BG10), MEDIAN(M10:BG10)),0)</f>
        <v>73</v>
      </c>
      <c r="DB10" s="18" t="n">
        <f aca="false">ROUND(AVERAGE(AVERAGE(M10:BV10), MEDIAN(M10:BV10)),0)</f>
        <v>75</v>
      </c>
      <c r="DC10" s="18" t="n">
        <f aca="false">ROUND(AVERAGE(AVERAGE(M10:CI10), MEDIAN(M10:CI10)),0)</f>
        <v>79</v>
      </c>
      <c r="DD10" s="18" t="n">
        <f aca="false">CR10</f>
        <v>81</v>
      </c>
    </row>
    <row r="11" customFormat="false" ht="15.75" hidden="false" customHeight="false" outlineLevel="0" collapsed="false">
      <c r="A11" s="11" t="s">
        <v>279</v>
      </c>
      <c r="B11" s="12" t="s">
        <v>280</v>
      </c>
      <c r="C11" s="11" t="s">
        <v>254</v>
      </c>
      <c r="E11" s="12" t="n">
        <v>902.9</v>
      </c>
      <c r="F11" s="13" t="s">
        <v>200</v>
      </c>
      <c r="G11" s="13" t="s">
        <v>281</v>
      </c>
      <c r="H11" s="13" t="s">
        <v>282</v>
      </c>
      <c r="I11" s="13" t="s">
        <v>223</v>
      </c>
      <c r="J11" s="13" t="s">
        <v>198</v>
      </c>
      <c r="K11" s="13" t="s">
        <v>283</v>
      </c>
      <c r="L11" s="13" t="s">
        <v>267</v>
      </c>
      <c r="M11" s="12" t="n">
        <v>83</v>
      </c>
      <c r="N11" s="13" t="s">
        <v>155</v>
      </c>
      <c r="O11" s="12" t="n">
        <v>81</v>
      </c>
      <c r="P11" s="12" t="n">
        <v>91</v>
      </c>
      <c r="Q11" s="13" t="s">
        <v>119</v>
      </c>
      <c r="R11" s="13" t="s">
        <v>284</v>
      </c>
      <c r="S11" s="13"/>
      <c r="T11" s="13" t="s">
        <v>285</v>
      </c>
      <c r="U11" s="13" t="s">
        <v>175</v>
      </c>
      <c r="V11" s="12" t="n">
        <v>76</v>
      </c>
      <c r="W11" s="12" t="n">
        <v>69</v>
      </c>
      <c r="X11" s="13"/>
      <c r="Y11" s="12" t="n">
        <v>79</v>
      </c>
      <c r="Z11" s="12" t="n">
        <v>63</v>
      </c>
      <c r="AA11" s="12" t="n">
        <v>43</v>
      </c>
      <c r="AB11" s="13" t="s">
        <v>141</v>
      </c>
      <c r="AC11" s="13" t="s">
        <v>221</v>
      </c>
      <c r="AD11" s="16"/>
      <c r="AE11" s="12" t="n">
        <v>66</v>
      </c>
      <c r="AF11" s="15" t="n">
        <v>74</v>
      </c>
      <c r="AG11" s="13" t="s">
        <v>286</v>
      </c>
      <c r="AH11" s="13"/>
      <c r="AI11" s="12" t="n">
        <v>83</v>
      </c>
      <c r="AJ11" s="16"/>
      <c r="AK11" s="16"/>
      <c r="AL11" s="14" t="s">
        <v>119</v>
      </c>
      <c r="AM11" s="13" t="s">
        <v>186</v>
      </c>
      <c r="AN11" s="16"/>
      <c r="AO11" s="14"/>
      <c r="AP11" s="12" t="n">
        <v>86</v>
      </c>
      <c r="AQ11" s="14" t="s">
        <v>214</v>
      </c>
      <c r="AR11" s="12" t="n">
        <v>97</v>
      </c>
      <c r="AS11" s="14" t="s">
        <v>119</v>
      </c>
      <c r="AT11" s="12" t="n">
        <v>112</v>
      </c>
      <c r="AU11" s="14" t="s">
        <v>266</v>
      </c>
      <c r="AV11" s="12" t="n">
        <v>70</v>
      </c>
      <c r="AW11" s="13"/>
      <c r="AX11" s="13" t="s">
        <v>226</v>
      </c>
      <c r="AY11" s="13" t="s">
        <v>152</v>
      </c>
      <c r="AZ11" s="13" t="s">
        <v>245</v>
      </c>
      <c r="BA11" s="13" t="s">
        <v>151</v>
      </c>
      <c r="BB11" s="14" t="s">
        <v>119</v>
      </c>
      <c r="BC11" s="12" t="n">
        <v>96</v>
      </c>
      <c r="BD11" s="12" t="n">
        <v>43</v>
      </c>
      <c r="BE11" s="13"/>
      <c r="BF11" s="12" t="n">
        <v>131</v>
      </c>
      <c r="BG11" s="20"/>
      <c r="BH11" s="16"/>
      <c r="BI11" s="12" t="n">
        <v>82</v>
      </c>
      <c r="BJ11" s="12" t="n">
        <v>94</v>
      </c>
      <c r="BK11" s="12" t="n">
        <v>60</v>
      </c>
      <c r="BL11" s="12" t="n">
        <v>101</v>
      </c>
      <c r="BM11" s="12" t="n">
        <v>76</v>
      </c>
      <c r="BN11" s="12" t="n">
        <v>73</v>
      </c>
      <c r="BO11" s="12" t="n">
        <v>84</v>
      </c>
      <c r="BP11" s="12" t="n">
        <v>105</v>
      </c>
      <c r="BQ11" s="12" t="n">
        <v>72</v>
      </c>
      <c r="BR11" s="16"/>
      <c r="BS11" s="15" t="n">
        <v>106</v>
      </c>
      <c r="BT11" s="15" t="n">
        <v>80</v>
      </c>
      <c r="BU11" s="12" t="n">
        <v>99</v>
      </c>
      <c r="BV11" s="12" t="n">
        <v>82</v>
      </c>
      <c r="BW11" s="13" t="s">
        <v>135</v>
      </c>
      <c r="BX11" s="13" t="s">
        <v>206</v>
      </c>
      <c r="BY11" s="13" t="s">
        <v>287</v>
      </c>
      <c r="BZ11" s="12" t="n">
        <v>99</v>
      </c>
      <c r="CA11" s="12" t="n">
        <v>105</v>
      </c>
      <c r="CB11" s="12" t="n">
        <v>84</v>
      </c>
      <c r="CC11" s="12" t="n">
        <v>97</v>
      </c>
      <c r="CE11" s="12" t="n">
        <v>86</v>
      </c>
      <c r="CF11" s="12" t="n">
        <v>92</v>
      </c>
      <c r="CG11" s="13" t="s">
        <v>200</v>
      </c>
      <c r="CH11" s="12" t="n">
        <v>91</v>
      </c>
      <c r="CJ11" s="12" t="n">
        <v>91</v>
      </c>
      <c r="CK11" s="12" t="n">
        <v>86</v>
      </c>
      <c r="CL11" s="12" t="n">
        <v>93</v>
      </c>
      <c r="CM11" s="12" t="n">
        <v>139</v>
      </c>
      <c r="CN11" s="12" t="n">
        <v>96</v>
      </c>
      <c r="CO11" s="12" t="n">
        <v>89</v>
      </c>
      <c r="CP11" s="15" t="n">
        <v>80</v>
      </c>
      <c r="CQ11" s="17"/>
      <c r="CR11" s="18" t="n">
        <f aca="false">ROUND(AVERAGE(AVERAGE(M11:CQ11), MEDIAN(M11:CQ11)),0)</f>
        <v>86</v>
      </c>
      <c r="CS11" s="18" t="n">
        <f aca="false">ROUND(AVERAGE(AVERAGE(M11:P11), MEDIAN(M11:P11)),0)</f>
        <v>84</v>
      </c>
      <c r="CT11" s="19" t="n">
        <f aca="false">ROUND(AVERAGE(AVERAGE(S11:AM11), MEDIAN(S11:AM11)),0)</f>
        <v>70</v>
      </c>
      <c r="CU11" s="18" t="n">
        <f aca="false">ROUND(AVERAGE(AVERAGE(AP11:BG11), MEDIAN(AP11:BG11)),0)</f>
        <v>93</v>
      </c>
      <c r="CV11" s="18" t="n">
        <f aca="false">ROUND(AVERAGE(AVERAGE(BI11:BV11), MEDIAN(BI11:BV11)),0)</f>
        <v>84</v>
      </c>
      <c r="CW11" s="19" t="n">
        <f aca="false">ROUND(AVERAGE(AVERAGE(BX11:CI11), MEDIAN(BX11:CI11)),0)</f>
        <v>93</v>
      </c>
      <c r="CX11" s="18" t="n">
        <f aca="false">ROUND(AVERAGE(AVERAGE(CJ11:CQ11), MEDIAN(CJ11:CQ11)),0)</f>
        <v>94</v>
      </c>
      <c r="CY11" s="18" t="n">
        <f aca="false">CS11</f>
        <v>84</v>
      </c>
      <c r="CZ11" s="18" t="n">
        <f aca="false">ROUND(AVERAGE(AVERAGE(M11:AM11), MEDIAN(M11:AM11)),0)</f>
        <v>75</v>
      </c>
      <c r="DA11" s="18" t="n">
        <f aca="false">ROUND(AVERAGE(AVERAGE(M11:BG11), MEDIAN(M11:BG11)),0)</f>
        <v>80</v>
      </c>
      <c r="DB11" s="18" t="n">
        <f aca="false">ROUND(AVERAGE(AVERAGE(M11:BV11), MEDIAN(M11:BV11)),0)</f>
        <v>82</v>
      </c>
      <c r="DC11" s="18" t="n">
        <f aca="false">ROUND(AVERAGE(AVERAGE(M11:CI11), MEDIAN(M11:CI11)),0)</f>
        <v>84</v>
      </c>
      <c r="DD11" s="18" t="n">
        <f aca="false">CR11</f>
        <v>86</v>
      </c>
    </row>
    <row r="12" customFormat="false" ht="15.75" hidden="false" customHeight="false" outlineLevel="0" collapsed="false">
      <c r="A12" s="11" t="s">
        <v>288</v>
      </c>
      <c r="B12" s="12" t="s">
        <v>289</v>
      </c>
      <c r="C12" s="11" t="s">
        <v>218</v>
      </c>
      <c r="E12" s="12" t="n">
        <v>913.6</v>
      </c>
      <c r="F12" s="13" t="s">
        <v>290</v>
      </c>
      <c r="G12" s="13" t="s">
        <v>291</v>
      </c>
      <c r="H12" s="13" t="s">
        <v>292</v>
      </c>
      <c r="I12" s="13" t="s">
        <v>219</v>
      </c>
      <c r="J12" s="13" t="s">
        <v>220</v>
      </c>
      <c r="K12" s="13" t="s">
        <v>278</v>
      </c>
      <c r="L12" s="13" t="s">
        <v>293</v>
      </c>
      <c r="M12" s="12" t="n">
        <v>85</v>
      </c>
      <c r="N12" s="13" t="s">
        <v>190</v>
      </c>
      <c r="O12" s="12" t="n">
        <v>84</v>
      </c>
      <c r="P12" s="12" t="n">
        <v>112</v>
      </c>
      <c r="Q12" s="13"/>
      <c r="R12" s="13" t="s">
        <v>236</v>
      </c>
      <c r="S12" s="13"/>
      <c r="T12" s="13" t="s">
        <v>294</v>
      </c>
      <c r="U12" s="13" t="s">
        <v>286</v>
      </c>
      <c r="V12" s="12" t="n">
        <v>81</v>
      </c>
      <c r="W12" s="12" t="n">
        <v>65</v>
      </c>
      <c r="X12" s="13"/>
      <c r="Y12" s="12" t="n">
        <v>59</v>
      </c>
      <c r="Z12" s="12" t="n">
        <v>79</v>
      </c>
      <c r="AA12" s="12" t="n">
        <v>52</v>
      </c>
      <c r="AB12" s="13" t="s">
        <v>141</v>
      </c>
      <c r="AC12" s="13" t="s">
        <v>295</v>
      </c>
      <c r="AD12" s="16"/>
      <c r="AE12" s="12" t="n">
        <v>65</v>
      </c>
      <c r="AF12" s="15" t="n">
        <v>56</v>
      </c>
      <c r="AG12" s="13" t="s">
        <v>162</v>
      </c>
      <c r="AH12" s="13"/>
      <c r="AI12" s="12" t="n">
        <v>84</v>
      </c>
      <c r="AJ12" s="16"/>
      <c r="AK12" s="16"/>
      <c r="AL12" s="14"/>
      <c r="AM12" s="13" t="s">
        <v>245</v>
      </c>
      <c r="AN12" s="16"/>
      <c r="AO12" s="14" t="s">
        <v>119</v>
      </c>
      <c r="AP12" s="12" t="n">
        <v>73</v>
      </c>
      <c r="AQ12" s="14" t="s">
        <v>213</v>
      </c>
      <c r="AR12" s="12" t="n">
        <v>94</v>
      </c>
      <c r="AS12" s="16"/>
      <c r="AT12" s="12" t="n">
        <v>94</v>
      </c>
      <c r="AU12" s="14" t="s">
        <v>285</v>
      </c>
      <c r="AV12" s="12" t="n">
        <v>77</v>
      </c>
      <c r="AW12" s="13"/>
      <c r="AX12" s="13" t="s">
        <v>285</v>
      </c>
      <c r="AY12" s="13" t="s">
        <v>214</v>
      </c>
      <c r="AZ12" s="13" t="s">
        <v>245</v>
      </c>
      <c r="BA12" s="13" t="s">
        <v>162</v>
      </c>
      <c r="BB12" s="14"/>
      <c r="BC12" s="12" t="n">
        <v>103</v>
      </c>
      <c r="BD12" s="12" t="n">
        <v>60</v>
      </c>
      <c r="BE12" s="13"/>
      <c r="BF12" s="12" t="n">
        <v>137</v>
      </c>
      <c r="BG12" s="20"/>
      <c r="BH12" s="16"/>
      <c r="BI12" s="12" t="n">
        <v>71</v>
      </c>
      <c r="BJ12" s="12" t="n">
        <v>81</v>
      </c>
      <c r="BK12" s="12" t="n">
        <v>63</v>
      </c>
      <c r="BL12" s="12" t="n">
        <v>108</v>
      </c>
      <c r="BM12" s="12" t="n">
        <v>102</v>
      </c>
      <c r="BN12" s="12" t="n">
        <v>78</v>
      </c>
      <c r="BO12" s="12" t="n">
        <v>78</v>
      </c>
      <c r="BP12" s="12" t="n">
        <v>126</v>
      </c>
      <c r="BQ12" s="12" t="n">
        <v>61</v>
      </c>
      <c r="BR12" s="16"/>
      <c r="BS12" s="15" t="n">
        <v>103</v>
      </c>
      <c r="BT12" s="15" t="n">
        <v>63</v>
      </c>
      <c r="BU12" s="12" t="n">
        <v>66</v>
      </c>
      <c r="BV12" s="12" t="n">
        <v>73</v>
      </c>
      <c r="BW12" s="13" t="s">
        <v>135</v>
      </c>
      <c r="BX12" s="13" t="s">
        <v>253</v>
      </c>
      <c r="BY12" s="13" t="s">
        <v>126</v>
      </c>
      <c r="BZ12" s="12" t="n">
        <v>84</v>
      </c>
      <c r="CA12" s="12" t="n">
        <v>87</v>
      </c>
      <c r="CB12" s="12" t="n">
        <v>70</v>
      </c>
      <c r="CC12" s="12" t="n">
        <v>93</v>
      </c>
      <c r="CD12" s="12" t="n">
        <v>88</v>
      </c>
      <c r="CE12" s="12" t="n">
        <v>90</v>
      </c>
      <c r="CF12" s="12" t="n">
        <v>80</v>
      </c>
      <c r="CG12" s="13" t="s">
        <v>296</v>
      </c>
      <c r="CH12" s="12" t="n">
        <v>93</v>
      </c>
      <c r="CJ12" s="12" t="n">
        <v>86</v>
      </c>
      <c r="CK12" s="12" t="n">
        <v>93</v>
      </c>
      <c r="CL12" s="12" t="n">
        <v>85</v>
      </c>
      <c r="CM12" s="12" t="n">
        <v>127</v>
      </c>
      <c r="CN12" s="12" t="n">
        <v>65</v>
      </c>
      <c r="CO12" s="12" t="n">
        <v>90</v>
      </c>
      <c r="CP12" s="15" t="n">
        <v>126</v>
      </c>
      <c r="CQ12" s="17"/>
      <c r="CR12" s="18" t="n">
        <f aca="false">ROUND(AVERAGE(AVERAGE(M12:CQ12), MEDIAN(M12:CQ12)),0)</f>
        <v>84</v>
      </c>
      <c r="CS12" s="18" t="n">
        <f aca="false">ROUND(AVERAGE(AVERAGE(M12:P12), MEDIAN(M12:P12)),0)</f>
        <v>89</v>
      </c>
      <c r="CT12" s="19" t="n">
        <f aca="false">ROUND(AVERAGE(AVERAGE(S12:AM12), MEDIAN(S12:AM12)),0)</f>
        <v>66</v>
      </c>
      <c r="CU12" s="18" t="n">
        <f aca="false">ROUND(AVERAGE(AVERAGE(AP12:BG12), MEDIAN(AP12:BG12)),0)</f>
        <v>93</v>
      </c>
      <c r="CV12" s="18" t="n">
        <f aca="false">ROUND(AVERAGE(AVERAGE(BI12:BV12), MEDIAN(BI12:BV12)),0)</f>
        <v>80</v>
      </c>
      <c r="CW12" s="19" t="n">
        <f aca="false">ROUND(AVERAGE(AVERAGE(BX12:CI12), MEDIAN(BX12:CI12)),0)</f>
        <v>87</v>
      </c>
      <c r="CX12" s="18" t="n">
        <f aca="false">ROUND(AVERAGE(AVERAGE(CJ12:CQ12), MEDIAN(CJ12:CQ12)),0)</f>
        <v>93</v>
      </c>
      <c r="CY12" s="18" t="n">
        <f aca="false">CS12</f>
        <v>89</v>
      </c>
      <c r="CZ12" s="18" t="n">
        <f aca="false">ROUND(AVERAGE(AVERAGE(M12:AM12), MEDIAN(M12:AM12)),0)</f>
        <v>77</v>
      </c>
      <c r="DA12" s="18" t="n">
        <f aca="false">ROUND(AVERAGE(AVERAGE(M12:BG12), MEDIAN(M12:BG12)),0)</f>
        <v>81</v>
      </c>
      <c r="DB12" s="18" t="n">
        <f aca="false">ROUND(AVERAGE(AVERAGE(M12:BV12), MEDIAN(M12:BV12)),0)</f>
        <v>80</v>
      </c>
      <c r="DC12" s="18" t="n">
        <f aca="false">ROUND(AVERAGE(AVERAGE(M12:CI12), MEDIAN(M12:CI12)),0)</f>
        <v>82</v>
      </c>
      <c r="DD12" s="18" t="n">
        <f aca="false">CR12</f>
        <v>84</v>
      </c>
    </row>
    <row r="13" customFormat="false" ht="15.75" hidden="false" customHeight="false" outlineLevel="0" collapsed="false">
      <c r="A13" s="11" t="s">
        <v>297</v>
      </c>
      <c r="B13" s="12" t="s">
        <v>298</v>
      </c>
      <c r="C13" s="11" t="s">
        <v>299</v>
      </c>
      <c r="E13" s="12" t="n">
        <v>949.3</v>
      </c>
      <c r="F13" s="13" t="s">
        <v>196</v>
      </c>
      <c r="G13" s="13" t="s">
        <v>300</v>
      </c>
      <c r="H13" s="13" t="s">
        <v>195</v>
      </c>
      <c r="I13" s="13" t="s">
        <v>301</v>
      </c>
      <c r="J13" s="13" t="s">
        <v>302</v>
      </c>
      <c r="K13" s="13" t="s">
        <v>303</v>
      </c>
      <c r="L13" s="13" t="s">
        <v>257</v>
      </c>
      <c r="M13" s="12" t="n">
        <v>60</v>
      </c>
      <c r="N13" s="13" t="s">
        <v>223</v>
      </c>
      <c r="O13" s="12" t="n">
        <v>62</v>
      </c>
      <c r="P13" s="12" t="n">
        <v>92</v>
      </c>
      <c r="Q13" s="13" t="s">
        <v>119</v>
      </c>
      <c r="R13" s="13" t="s">
        <v>304</v>
      </c>
      <c r="S13" s="13"/>
      <c r="T13" s="13" t="s">
        <v>296</v>
      </c>
      <c r="U13" s="13" t="s">
        <v>119</v>
      </c>
      <c r="V13" s="12" t="n">
        <v>91</v>
      </c>
      <c r="W13" s="12" t="n">
        <v>67</v>
      </c>
      <c r="X13" s="13"/>
      <c r="Y13" s="12" t="n">
        <v>30</v>
      </c>
      <c r="Z13" s="12" t="n">
        <v>25</v>
      </c>
      <c r="AA13" s="12" t="n">
        <v>30</v>
      </c>
      <c r="AB13" s="13" t="s">
        <v>110</v>
      </c>
      <c r="AC13" s="13" t="s">
        <v>299</v>
      </c>
      <c r="AD13" s="14" t="s">
        <v>119</v>
      </c>
      <c r="AE13" s="12" t="n">
        <v>60</v>
      </c>
      <c r="AF13" s="15" t="n">
        <v>29</v>
      </c>
      <c r="AG13" s="13" t="s">
        <v>253</v>
      </c>
      <c r="AH13" s="13"/>
      <c r="AI13" s="12" t="n">
        <v>79</v>
      </c>
      <c r="AJ13" s="16"/>
      <c r="AK13" s="16"/>
      <c r="AL13" s="14" t="s">
        <v>119</v>
      </c>
      <c r="AM13" s="13" t="s">
        <v>177</v>
      </c>
      <c r="AN13" s="16"/>
      <c r="AO13" s="14" t="s">
        <v>119</v>
      </c>
      <c r="AP13" s="12" t="n">
        <v>35</v>
      </c>
      <c r="AQ13" s="14" t="s">
        <v>293</v>
      </c>
      <c r="AR13" s="12" t="n">
        <v>82</v>
      </c>
      <c r="AS13" s="16"/>
      <c r="AT13" s="12" t="n">
        <v>91</v>
      </c>
      <c r="AU13" s="14" t="s">
        <v>180</v>
      </c>
      <c r="AV13" s="12" t="n">
        <v>70</v>
      </c>
      <c r="AW13" s="13"/>
      <c r="AX13" s="13" t="s">
        <v>151</v>
      </c>
      <c r="AY13" s="13" t="s">
        <v>142</v>
      </c>
      <c r="AZ13" s="13" t="s">
        <v>152</v>
      </c>
      <c r="BA13" s="13" t="s">
        <v>228</v>
      </c>
      <c r="BB13" s="14" t="s">
        <v>119</v>
      </c>
      <c r="BC13" s="12" t="n">
        <v>107</v>
      </c>
      <c r="BD13" s="12" t="n">
        <v>42</v>
      </c>
      <c r="BE13" s="13"/>
      <c r="BF13" s="12" t="n">
        <v>103</v>
      </c>
      <c r="BG13" s="20"/>
      <c r="BH13" s="16"/>
      <c r="BI13" s="12" t="n">
        <v>80</v>
      </c>
      <c r="BJ13" s="12" t="n">
        <v>81</v>
      </c>
      <c r="BK13" s="12" t="n">
        <v>57</v>
      </c>
      <c r="BL13" s="12" t="n">
        <v>108</v>
      </c>
      <c r="BM13" s="12" t="n">
        <v>100</v>
      </c>
      <c r="BN13" s="12" t="n">
        <v>70</v>
      </c>
      <c r="BO13" s="12" t="n">
        <v>68</v>
      </c>
      <c r="BP13" s="12" t="n">
        <v>95</v>
      </c>
      <c r="BQ13" s="12" t="n">
        <v>57</v>
      </c>
      <c r="BR13" s="16"/>
      <c r="BS13" s="15" t="n">
        <v>81</v>
      </c>
      <c r="BT13" s="15" t="n">
        <v>57</v>
      </c>
      <c r="BU13" s="12" t="n">
        <v>114</v>
      </c>
      <c r="BV13" s="12" t="n">
        <v>72</v>
      </c>
      <c r="BW13" s="13" t="s">
        <v>135</v>
      </c>
      <c r="BX13" s="13" t="s">
        <v>253</v>
      </c>
      <c r="BY13" s="13" t="s">
        <v>186</v>
      </c>
      <c r="BZ13" s="12" t="n">
        <v>82</v>
      </c>
      <c r="CA13" s="12" t="n">
        <v>88</v>
      </c>
      <c r="CB13" s="12" t="n">
        <v>70</v>
      </c>
      <c r="CC13" s="12" t="n">
        <v>80</v>
      </c>
      <c r="CE13" s="12" t="n">
        <v>76</v>
      </c>
      <c r="CF13" s="12" t="n">
        <v>75</v>
      </c>
      <c r="CG13" s="13" t="s">
        <v>305</v>
      </c>
      <c r="CH13" s="12" t="n">
        <v>88</v>
      </c>
      <c r="CJ13" s="12" t="n">
        <v>92</v>
      </c>
      <c r="CK13" s="12" t="n">
        <v>110</v>
      </c>
      <c r="CL13" s="12" t="n">
        <v>109</v>
      </c>
      <c r="CM13" s="12" t="n">
        <v>123</v>
      </c>
      <c r="CN13" s="12" t="n">
        <v>60</v>
      </c>
      <c r="CO13" s="12" t="n">
        <v>118</v>
      </c>
      <c r="CP13" s="15" t="n">
        <v>88</v>
      </c>
      <c r="CQ13" s="17"/>
      <c r="CR13" s="18" t="n">
        <f aca="false">ROUND(AVERAGE(AVERAGE(M13:CQ13), MEDIAN(M13:CQ13)),0)</f>
        <v>78</v>
      </c>
      <c r="CS13" s="18" t="n">
        <f aca="false">ROUND(AVERAGE(AVERAGE(M13:P13), MEDIAN(M13:P13)),0)</f>
        <v>67</v>
      </c>
      <c r="CT13" s="19" t="n">
        <f aca="false">ROUND(AVERAGE(AVERAGE(S13:AM13), MEDIAN(S13:AM13)),0)</f>
        <v>48</v>
      </c>
      <c r="CU13" s="18" t="n">
        <f aca="false">ROUND(AVERAGE(AVERAGE(AP13:BG13), MEDIAN(AP13:BG13)),0)</f>
        <v>79</v>
      </c>
      <c r="CV13" s="18" t="n">
        <f aca="false">ROUND(AVERAGE(AVERAGE(BI13:BV13), MEDIAN(BI13:BV13)),0)</f>
        <v>80</v>
      </c>
      <c r="CW13" s="19" t="n">
        <f aca="false">ROUND(AVERAGE(AVERAGE(BX13:CI13), MEDIAN(BX13:CI13)),0)</f>
        <v>80</v>
      </c>
      <c r="CX13" s="18" t="n">
        <f aca="false">ROUND(AVERAGE(AVERAGE(CJ13:CQ13), MEDIAN(CJ13:CQ13)),0)</f>
        <v>105</v>
      </c>
      <c r="CY13" s="18" t="n">
        <f aca="false">CS13</f>
        <v>67</v>
      </c>
      <c r="CZ13" s="18" t="n">
        <f aca="false">ROUND(AVERAGE(AVERAGE(M13:AM13), MEDIAN(M13:AM13)),0)</f>
        <v>58</v>
      </c>
      <c r="DA13" s="18" t="n">
        <f aca="false">ROUND(AVERAGE(AVERAGE(M13:BG13), MEDIAN(M13:BG13)),0)</f>
        <v>64</v>
      </c>
      <c r="DB13" s="18" t="n">
        <f aca="false">ROUND(AVERAGE(AVERAGE(M13:BV13), MEDIAN(M13:BV13)),0)</f>
        <v>70</v>
      </c>
      <c r="DC13" s="18" t="n">
        <f aca="false">ROUND(AVERAGE(AVERAGE(M13:CI13), MEDIAN(M13:CI13)),0)</f>
        <v>74</v>
      </c>
      <c r="DD13" s="18" t="n">
        <f aca="false">CR13</f>
        <v>78</v>
      </c>
    </row>
    <row r="14" customFormat="false" ht="15.75" hidden="false" customHeight="false" outlineLevel="0" collapsed="false">
      <c r="A14" s="2"/>
      <c r="C14" s="2"/>
      <c r="F14" s="21"/>
      <c r="G14" s="21"/>
      <c r="H14" s="21"/>
      <c r="I14" s="21"/>
      <c r="J14" s="21"/>
      <c r="K14" s="21"/>
      <c r="L14" s="21"/>
      <c r="M14" s="22"/>
      <c r="N14" s="21"/>
      <c r="O14" s="22"/>
      <c r="P14" s="22"/>
      <c r="Q14" s="21"/>
      <c r="R14" s="21"/>
      <c r="S14" s="21"/>
      <c r="T14" s="21"/>
      <c r="U14" s="21"/>
      <c r="V14" s="22"/>
      <c r="W14" s="22"/>
      <c r="X14" s="21"/>
      <c r="Y14" s="22"/>
      <c r="Z14" s="22"/>
      <c r="AA14" s="22"/>
      <c r="AB14" s="21"/>
      <c r="AC14" s="21"/>
      <c r="AD14" s="16"/>
      <c r="AE14" s="22"/>
      <c r="AF14" s="17"/>
      <c r="AG14" s="23"/>
      <c r="AH14" s="23"/>
      <c r="AI14" s="22"/>
      <c r="AJ14" s="16"/>
      <c r="AK14" s="16"/>
      <c r="AL14" s="16"/>
      <c r="AM14" s="21"/>
      <c r="AN14" s="16"/>
      <c r="AO14" s="16"/>
      <c r="AP14" s="22"/>
      <c r="AQ14" s="16"/>
      <c r="AR14" s="22"/>
      <c r="AS14" s="16"/>
      <c r="AT14" s="22"/>
      <c r="AU14" s="16"/>
      <c r="AV14" s="22"/>
      <c r="AW14" s="23"/>
      <c r="AX14" s="23"/>
      <c r="AY14" s="23"/>
      <c r="AZ14" s="23"/>
      <c r="BA14" s="23"/>
      <c r="BB14" s="16"/>
      <c r="BC14" s="22"/>
      <c r="BD14" s="22"/>
      <c r="BE14" s="23"/>
      <c r="BF14" s="22"/>
      <c r="BG14" s="20"/>
      <c r="BH14" s="16"/>
      <c r="BI14" s="22"/>
      <c r="BJ14" s="22"/>
      <c r="BK14" s="22"/>
      <c r="BL14" s="22"/>
      <c r="BM14" s="22"/>
      <c r="BN14" s="22"/>
      <c r="BO14" s="22"/>
      <c r="BP14" s="22"/>
      <c r="BQ14" s="22"/>
      <c r="BR14" s="16"/>
      <c r="BS14" s="17"/>
      <c r="BT14" s="17"/>
      <c r="BU14" s="22"/>
      <c r="BV14" s="22"/>
      <c r="BW14" s="21"/>
      <c r="BX14" s="21"/>
      <c r="BY14" s="21"/>
      <c r="BZ14" s="22"/>
      <c r="CA14" s="22"/>
      <c r="CB14" s="22"/>
      <c r="CC14" s="22"/>
      <c r="CD14" s="22"/>
      <c r="CE14" s="22"/>
      <c r="CF14" s="22"/>
      <c r="CG14" s="21"/>
      <c r="CH14" s="22"/>
      <c r="CI14" s="22"/>
      <c r="CJ14" s="22"/>
      <c r="CK14" s="22"/>
      <c r="CL14" s="22"/>
      <c r="CM14" s="22"/>
      <c r="CN14" s="22"/>
      <c r="CO14" s="24"/>
      <c r="CP14" s="17"/>
      <c r="CQ14" s="17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</row>
    <row r="15" customFormat="false" ht="15.75" hidden="false" customHeight="false" outlineLevel="0" collapsed="false">
      <c r="A15" s="11"/>
      <c r="B15" s="12"/>
      <c r="C15" s="11"/>
      <c r="F15" s="20"/>
      <c r="G15" s="20"/>
      <c r="H15" s="20"/>
      <c r="I15" s="20"/>
      <c r="J15" s="20"/>
      <c r="K15" s="20"/>
      <c r="L15" s="20"/>
      <c r="N15" s="20"/>
      <c r="Q15" s="20"/>
      <c r="R15" s="20"/>
      <c r="S15" s="20"/>
      <c r="T15" s="20"/>
      <c r="U15" s="20"/>
      <c r="X15" s="20"/>
      <c r="AB15" s="20"/>
      <c r="AC15" s="20"/>
      <c r="AD15" s="16"/>
      <c r="AF15" s="17"/>
      <c r="AG15" s="25"/>
      <c r="AH15" s="25"/>
      <c r="AI15" s="26"/>
      <c r="AJ15" s="16"/>
      <c r="AK15" s="16"/>
      <c r="AL15" s="16"/>
      <c r="AM15" s="20"/>
      <c r="AN15" s="16"/>
      <c r="AO15" s="16"/>
      <c r="AQ15" s="16"/>
      <c r="AS15" s="16"/>
      <c r="AU15" s="16"/>
      <c r="AW15" s="25"/>
      <c r="AX15" s="25"/>
      <c r="AY15" s="25"/>
      <c r="AZ15" s="25"/>
      <c r="BA15" s="25"/>
      <c r="BB15" s="16"/>
      <c r="BE15" s="25"/>
      <c r="BG15" s="20"/>
      <c r="BH15" s="16"/>
      <c r="BR15" s="16"/>
      <c r="BS15" s="17"/>
      <c r="BT15" s="17"/>
      <c r="BW15" s="20"/>
      <c r="BX15" s="20"/>
      <c r="BY15" s="20"/>
      <c r="CG15" s="20"/>
      <c r="CO15" s="27"/>
      <c r="CP15" s="17"/>
      <c r="CQ15" s="17"/>
      <c r="CT15" s="27"/>
      <c r="CW15" s="27"/>
    </row>
    <row r="16" customFormat="false" ht="15.75" hidden="false" customHeight="false" outlineLevel="0" collapsed="false">
      <c r="A16" s="11"/>
      <c r="B16" s="12"/>
      <c r="C16" s="11"/>
      <c r="F16" s="20"/>
      <c r="G16" s="20"/>
      <c r="H16" s="20"/>
      <c r="I16" s="20"/>
      <c r="J16" s="20"/>
      <c r="K16" s="20"/>
      <c r="L16" s="20"/>
      <c r="N16" s="20"/>
      <c r="Q16" s="20"/>
      <c r="R16" s="20"/>
      <c r="S16" s="20"/>
      <c r="T16" s="20"/>
      <c r="U16" s="20"/>
      <c r="X16" s="20"/>
      <c r="AB16" s="20"/>
      <c r="AC16" s="20"/>
      <c r="AD16" s="16"/>
      <c r="AF16" s="17"/>
      <c r="AG16" s="25"/>
      <c r="AH16" s="25"/>
      <c r="AI16" s="26"/>
      <c r="AJ16" s="16"/>
      <c r="AK16" s="16"/>
      <c r="AL16" s="16"/>
      <c r="AM16" s="20"/>
      <c r="AN16" s="16"/>
      <c r="AO16" s="16"/>
      <c r="AQ16" s="16"/>
      <c r="AS16" s="16"/>
      <c r="AU16" s="16"/>
      <c r="AW16" s="25"/>
      <c r="AX16" s="25"/>
      <c r="AY16" s="25"/>
      <c r="AZ16" s="25"/>
      <c r="BA16" s="25"/>
      <c r="BB16" s="16"/>
      <c r="BE16" s="25"/>
      <c r="BG16" s="20"/>
      <c r="BH16" s="16"/>
      <c r="BR16" s="16"/>
      <c r="BS16" s="17"/>
      <c r="BT16" s="17"/>
      <c r="BW16" s="20"/>
      <c r="BX16" s="20"/>
      <c r="BY16" s="20"/>
      <c r="CG16" s="20"/>
      <c r="CO16" s="27"/>
      <c r="CP16" s="17"/>
      <c r="CQ16" s="17"/>
      <c r="CT16" s="27"/>
      <c r="CW16" s="27"/>
    </row>
    <row r="17" customFormat="false" ht="15.75" hidden="false" customHeight="false" outlineLevel="0" collapsed="false">
      <c r="A17" s="11"/>
      <c r="B17" s="12"/>
      <c r="C17" s="11"/>
      <c r="F17" s="20"/>
      <c r="G17" s="20"/>
      <c r="H17" s="20"/>
      <c r="I17" s="20"/>
      <c r="J17" s="20"/>
      <c r="K17" s="20"/>
      <c r="L17" s="20"/>
      <c r="N17" s="20"/>
      <c r="Q17" s="20"/>
      <c r="R17" s="20"/>
      <c r="S17" s="20"/>
      <c r="T17" s="20"/>
      <c r="U17" s="20"/>
      <c r="X17" s="20"/>
      <c r="AB17" s="20"/>
      <c r="AC17" s="20"/>
      <c r="AD17" s="16"/>
      <c r="AF17" s="17"/>
      <c r="AG17" s="25"/>
      <c r="AH17" s="25"/>
      <c r="AI17" s="26"/>
      <c r="AJ17" s="16"/>
      <c r="AK17" s="16"/>
      <c r="AL17" s="16"/>
      <c r="AM17" s="20"/>
      <c r="AN17" s="16"/>
      <c r="AO17" s="16"/>
      <c r="AQ17" s="16"/>
      <c r="AS17" s="16"/>
      <c r="AU17" s="16"/>
      <c r="AW17" s="25"/>
      <c r="AX17" s="25"/>
      <c r="AY17" s="25"/>
      <c r="AZ17" s="25"/>
      <c r="BA17" s="25"/>
      <c r="BB17" s="16"/>
      <c r="BE17" s="25"/>
      <c r="BG17" s="20"/>
      <c r="BH17" s="16"/>
      <c r="BR17" s="16"/>
      <c r="BS17" s="17"/>
      <c r="BT17" s="17"/>
      <c r="BW17" s="20"/>
      <c r="BX17" s="20"/>
      <c r="BY17" s="20"/>
      <c r="CG17" s="20"/>
      <c r="CO17" s="27"/>
      <c r="CP17" s="17"/>
      <c r="CQ17" s="17"/>
      <c r="CT17" s="27"/>
      <c r="CW17" s="27"/>
    </row>
    <row r="18" customFormat="false" ht="15.75" hidden="false" customHeight="false" outlineLevel="0" collapsed="false">
      <c r="A18" s="12"/>
      <c r="B18" s="12"/>
      <c r="C18" s="12"/>
      <c r="F18" s="20"/>
      <c r="G18" s="20"/>
      <c r="H18" s="20"/>
      <c r="I18" s="20"/>
      <c r="J18" s="20"/>
      <c r="K18" s="20"/>
      <c r="L18" s="20"/>
      <c r="N18" s="20"/>
      <c r="Q18" s="20"/>
      <c r="R18" s="20"/>
      <c r="S18" s="20"/>
      <c r="T18" s="20"/>
      <c r="U18" s="20"/>
      <c r="X18" s="20"/>
      <c r="AB18" s="20"/>
      <c r="AC18" s="20"/>
      <c r="AD18" s="16"/>
      <c r="AF18" s="17"/>
      <c r="AG18" s="25"/>
      <c r="AH18" s="25"/>
      <c r="AI18" s="26"/>
      <c r="AJ18" s="16"/>
      <c r="AK18" s="16"/>
      <c r="AL18" s="16"/>
      <c r="AM18" s="20"/>
      <c r="AN18" s="16"/>
      <c r="AO18" s="16"/>
      <c r="AQ18" s="16"/>
      <c r="AS18" s="16"/>
      <c r="AU18" s="16"/>
      <c r="AW18" s="25"/>
      <c r="AX18" s="25"/>
      <c r="AY18" s="25"/>
      <c r="AZ18" s="25"/>
      <c r="BA18" s="25"/>
      <c r="BB18" s="16"/>
      <c r="BE18" s="25"/>
      <c r="BG18" s="20"/>
      <c r="BH18" s="16"/>
      <c r="BR18" s="16"/>
      <c r="BS18" s="17"/>
      <c r="BT18" s="17"/>
      <c r="BW18" s="20"/>
      <c r="BX18" s="20"/>
      <c r="BY18" s="20"/>
      <c r="CG18" s="20"/>
      <c r="CO18" s="27"/>
      <c r="CP18" s="17"/>
      <c r="CQ18" s="17"/>
      <c r="CT18" s="27"/>
      <c r="CW18" s="27"/>
      <c r="CX18" s="27"/>
      <c r="CY18" s="27"/>
      <c r="CZ18" s="27"/>
      <c r="DA18" s="27"/>
      <c r="DB18" s="27"/>
      <c r="DC18" s="27"/>
      <c r="DD18" s="27"/>
    </row>
    <row r="19" customFormat="false" ht="15.75" hidden="false" customHeight="false" outlineLevel="0" collapsed="false">
      <c r="A19" s="12"/>
      <c r="B19" s="12"/>
      <c r="C19" s="12"/>
      <c r="F19" s="20"/>
      <c r="G19" s="20"/>
      <c r="H19" s="20"/>
      <c r="I19" s="20"/>
      <c r="J19" s="20"/>
      <c r="K19" s="20"/>
      <c r="L19" s="20"/>
      <c r="N19" s="20"/>
      <c r="Q19" s="20"/>
      <c r="R19" s="20"/>
      <c r="S19" s="20"/>
      <c r="T19" s="20"/>
      <c r="U19" s="20"/>
      <c r="X19" s="20"/>
      <c r="AB19" s="20"/>
      <c r="AC19" s="20"/>
      <c r="AD19" s="16"/>
      <c r="AF19" s="17"/>
      <c r="AG19" s="25"/>
      <c r="AH19" s="25"/>
      <c r="AI19" s="26"/>
      <c r="AJ19" s="16"/>
      <c r="AK19" s="16"/>
      <c r="AL19" s="16"/>
      <c r="AM19" s="20"/>
      <c r="AN19" s="16"/>
      <c r="AO19" s="16"/>
      <c r="AQ19" s="16"/>
      <c r="AS19" s="16"/>
      <c r="AU19" s="16"/>
      <c r="AW19" s="25"/>
      <c r="AX19" s="25"/>
      <c r="AY19" s="25"/>
      <c r="AZ19" s="25"/>
      <c r="BA19" s="25"/>
      <c r="BB19" s="16"/>
      <c r="BE19" s="25"/>
      <c r="BG19" s="20"/>
      <c r="BH19" s="16"/>
      <c r="BR19" s="16"/>
      <c r="BS19" s="17"/>
      <c r="BT19" s="17"/>
      <c r="BW19" s="20"/>
      <c r="BX19" s="20"/>
      <c r="BY19" s="20"/>
      <c r="CG19" s="20"/>
      <c r="CO19" s="27"/>
      <c r="CP19" s="17"/>
      <c r="CQ19" s="17"/>
      <c r="CT19" s="27"/>
      <c r="CW19" s="27"/>
      <c r="CX19" s="27"/>
      <c r="CY19" s="27"/>
      <c r="CZ19" s="27"/>
      <c r="DA19" s="27"/>
      <c r="DB19" s="27"/>
      <c r="DC19" s="27"/>
      <c r="DD19" s="27"/>
    </row>
    <row r="20" customFormat="false" ht="15.75" hidden="false" customHeight="false" outlineLevel="0" collapsed="false">
      <c r="A20" s="12"/>
      <c r="B20" s="12"/>
      <c r="C20" s="12"/>
      <c r="F20" s="20"/>
      <c r="G20" s="20"/>
      <c r="H20" s="20"/>
      <c r="I20" s="20"/>
      <c r="J20" s="20"/>
      <c r="K20" s="20"/>
      <c r="L20" s="20"/>
      <c r="N20" s="20"/>
      <c r="Q20" s="20"/>
      <c r="R20" s="20"/>
      <c r="S20" s="20"/>
      <c r="T20" s="20"/>
      <c r="U20" s="20"/>
      <c r="X20" s="20"/>
      <c r="AB20" s="20"/>
      <c r="AC20" s="20"/>
      <c r="AD20" s="16"/>
      <c r="AF20" s="17"/>
      <c r="AG20" s="25"/>
      <c r="AH20" s="25"/>
      <c r="AI20" s="26"/>
      <c r="AJ20" s="16"/>
      <c r="AK20" s="16"/>
      <c r="AL20" s="16"/>
      <c r="AM20" s="20"/>
      <c r="AN20" s="16"/>
      <c r="AO20" s="16"/>
      <c r="AQ20" s="16"/>
      <c r="AS20" s="16"/>
      <c r="AU20" s="16"/>
      <c r="AW20" s="25"/>
      <c r="AX20" s="25"/>
      <c r="AY20" s="25"/>
      <c r="AZ20" s="25"/>
      <c r="BA20" s="25"/>
      <c r="BB20" s="16"/>
      <c r="BE20" s="25"/>
      <c r="BG20" s="20"/>
      <c r="BH20" s="16"/>
      <c r="BR20" s="16"/>
      <c r="BS20" s="17"/>
      <c r="BT20" s="17"/>
      <c r="BW20" s="20"/>
      <c r="BX20" s="20"/>
      <c r="BY20" s="20"/>
      <c r="CG20" s="20"/>
      <c r="CO20" s="27"/>
      <c r="CP20" s="17"/>
      <c r="CQ20" s="17"/>
      <c r="CT20" s="27"/>
      <c r="CW20" s="27"/>
      <c r="CX20" s="27"/>
      <c r="CY20" s="27"/>
      <c r="CZ20" s="27"/>
      <c r="DA20" s="27"/>
      <c r="DB20" s="27"/>
      <c r="DC20" s="27"/>
      <c r="DD20" s="27"/>
    </row>
    <row r="21" customFormat="false" ht="15.75" hidden="false" customHeight="false" outlineLevel="0" collapsed="false">
      <c r="A21" s="12"/>
      <c r="B21" s="12"/>
      <c r="C21" s="12"/>
      <c r="F21" s="20"/>
      <c r="G21" s="20"/>
      <c r="H21" s="20"/>
      <c r="I21" s="20"/>
      <c r="J21" s="20"/>
      <c r="K21" s="20"/>
      <c r="L21" s="20"/>
      <c r="N21" s="20"/>
      <c r="Q21" s="20"/>
      <c r="R21" s="20"/>
      <c r="S21" s="20"/>
      <c r="T21" s="20"/>
      <c r="U21" s="20"/>
      <c r="X21" s="20"/>
      <c r="AB21" s="20"/>
      <c r="AC21" s="20"/>
      <c r="AD21" s="16"/>
      <c r="AF21" s="17"/>
      <c r="AG21" s="25"/>
      <c r="AH21" s="25"/>
      <c r="AI21" s="26"/>
      <c r="AJ21" s="16"/>
      <c r="AK21" s="16"/>
      <c r="AL21" s="16"/>
      <c r="AM21" s="20"/>
      <c r="AN21" s="16"/>
      <c r="AO21" s="16"/>
      <c r="AQ21" s="16"/>
      <c r="AS21" s="16"/>
      <c r="AU21" s="16"/>
      <c r="AW21" s="25"/>
      <c r="AX21" s="25"/>
      <c r="AY21" s="25"/>
      <c r="AZ21" s="25"/>
      <c r="BA21" s="25"/>
      <c r="BB21" s="16"/>
      <c r="BE21" s="25"/>
      <c r="BG21" s="20"/>
      <c r="BH21" s="16"/>
      <c r="BR21" s="16"/>
      <c r="BS21" s="17"/>
      <c r="BT21" s="17"/>
      <c r="BW21" s="20"/>
      <c r="BX21" s="20"/>
      <c r="BY21" s="20"/>
      <c r="CG21" s="20"/>
      <c r="CO21" s="27"/>
      <c r="CP21" s="17"/>
      <c r="CQ21" s="17"/>
      <c r="CT21" s="27"/>
      <c r="CW21" s="27"/>
      <c r="CX21" s="27"/>
      <c r="CY21" s="27"/>
      <c r="CZ21" s="27"/>
      <c r="DA21" s="27"/>
      <c r="DB21" s="27"/>
      <c r="DC21" s="27"/>
      <c r="DD21" s="27"/>
    </row>
    <row r="22" customFormat="false" ht="15.75" hidden="false" customHeight="false" outlineLevel="0" collapsed="false">
      <c r="A22" s="12"/>
      <c r="B22" s="12"/>
      <c r="C22" s="12"/>
      <c r="F22" s="20"/>
      <c r="G22" s="20"/>
      <c r="H22" s="20"/>
      <c r="I22" s="20"/>
      <c r="J22" s="20"/>
      <c r="K22" s="20"/>
      <c r="L22" s="20"/>
      <c r="N22" s="20"/>
      <c r="Q22" s="20"/>
      <c r="R22" s="20"/>
      <c r="S22" s="20"/>
      <c r="T22" s="20"/>
      <c r="U22" s="20"/>
      <c r="X22" s="20"/>
      <c r="AB22" s="20"/>
      <c r="AC22" s="20"/>
      <c r="AD22" s="16"/>
      <c r="AF22" s="17"/>
      <c r="AG22" s="25"/>
      <c r="AH22" s="25"/>
      <c r="AI22" s="26"/>
      <c r="AJ22" s="16"/>
      <c r="AK22" s="16"/>
      <c r="AL22" s="16"/>
      <c r="AM22" s="20"/>
      <c r="AN22" s="16"/>
      <c r="AO22" s="16"/>
      <c r="AQ22" s="16"/>
      <c r="AS22" s="16"/>
      <c r="AU22" s="16"/>
      <c r="AW22" s="25"/>
      <c r="AX22" s="25"/>
      <c r="AY22" s="25"/>
      <c r="AZ22" s="25"/>
      <c r="BA22" s="25"/>
      <c r="BB22" s="16"/>
      <c r="BE22" s="25"/>
      <c r="BG22" s="20"/>
      <c r="BH22" s="16"/>
      <c r="BR22" s="16"/>
      <c r="BS22" s="17"/>
      <c r="BT22" s="17"/>
      <c r="BW22" s="20"/>
      <c r="BX22" s="20"/>
      <c r="BY22" s="20"/>
      <c r="CG22" s="20"/>
      <c r="CO22" s="27"/>
      <c r="CP22" s="17"/>
      <c r="CQ22" s="17"/>
      <c r="CT22" s="27"/>
      <c r="CW22" s="27"/>
      <c r="CX22" s="27"/>
      <c r="CY22" s="27"/>
      <c r="CZ22" s="27"/>
      <c r="DA22" s="27"/>
      <c r="DB22" s="27"/>
      <c r="DC22" s="27"/>
      <c r="DD22" s="27"/>
    </row>
    <row r="23" customFormat="false" ht="15.75" hidden="false" customHeight="false" outlineLevel="0" collapsed="false">
      <c r="A23" s="12"/>
      <c r="B23" s="12"/>
      <c r="C23" s="12"/>
      <c r="F23" s="20"/>
      <c r="G23" s="20"/>
      <c r="H23" s="20"/>
      <c r="I23" s="20"/>
      <c r="J23" s="20"/>
      <c r="K23" s="20"/>
      <c r="L23" s="20"/>
      <c r="N23" s="20"/>
      <c r="Q23" s="20"/>
      <c r="R23" s="20"/>
      <c r="S23" s="20"/>
      <c r="T23" s="20"/>
      <c r="U23" s="20"/>
      <c r="X23" s="20"/>
      <c r="AB23" s="20"/>
      <c r="AC23" s="20"/>
      <c r="AD23" s="16"/>
      <c r="AF23" s="17"/>
      <c r="AG23" s="25"/>
      <c r="AH23" s="25"/>
      <c r="AI23" s="26"/>
      <c r="AJ23" s="16"/>
      <c r="AK23" s="16"/>
      <c r="AL23" s="16"/>
      <c r="AM23" s="20"/>
      <c r="AN23" s="16"/>
      <c r="AO23" s="16"/>
      <c r="AQ23" s="16"/>
      <c r="AS23" s="16"/>
      <c r="AU23" s="16"/>
      <c r="AW23" s="25"/>
      <c r="AX23" s="25"/>
      <c r="AY23" s="25"/>
      <c r="AZ23" s="25"/>
      <c r="BA23" s="25"/>
      <c r="BB23" s="16"/>
      <c r="BE23" s="25"/>
      <c r="BG23" s="20"/>
      <c r="BH23" s="16"/>
      <c r="BR23" s="16"/>
      <c r="BS23" s="17"/>
      <c r="BT23" s="17"/>
      <c r="BW23" s="20"/>
      <c r="BX23" s="20"/>
      <c r="BY23" s="20"/>
      <c r="CG23" s="20"/>
      <c r="CO23" s="27"/>
      <c r="CP23" s="17"/>
      <c r="CQ23" s="17"/>
      <c r="CT23" s="27"/>
      <c r="CW23" s="27"/>
      <c r="CX23" s="27"/>
      <c r="CY23" s="27"/>
      <c r="CZ23" s="27"/>
      <c r="DA23" s="27"/>
      <c r="DB23" s="27"/>
      <c r="DC23" s="27"/>
      <c r="DD23" s="27"/>
    </row>
    <row r="24" customFormat="false" ht="15.75" hidden="false" customHeight="false" outlineLevel="0" collapsed="false">
      <c r="A24" s="12"/>
      <c r="B24" s="12"/>
      <c r="C24" s="12"/>
      <c r="F24" s="20"/>
      <c r="G24" s="20"/>
      <c r="H24" s="20"/>
      <c r="I24" s="20"/>
      <c r="J24" s="20"/>
      <c r="K24" s="20"/>
      <c r="L24" s="20"/>
      <c r="N24" s="20"/>
      <c r="Q24" s="20"/>
      <c r="R24" s="20"/>
      <c r="S24" s="20"/>
      <c r="T24" s="20"/>
      <c r="U24" s="20"/>
      <c r="X24" s="20"/>
      <c r="AB24" s="20"/>
      <c r="AC24" s="20"/>
      <c r="AD24" s="16"/>
      <c r="AF24" s="17"/>
      <c r="AG24" s="25"/>
      <c r="AH24" s="25"/>
      <c r="AI24" s="26"/>
      <c r="AJ24" s="16"/>
      <c r="AK24" s="16"/>
      <c r="AL24" s="16"/>
      <c r="AM24" s="20"/>
      <c r="AN24" s="16"/>
      <c r="AO24" s="16"/>
      <c r="AQ24" s="16"/>
      <c r="AS24" s="16"/>
      <c r="AU24" s="16"/>
      <c r="AW24" s="25"/>
      <c r="AX24" s="25"/>
      <c r="AY24" s="25"/>
      <c r="AZ24" s="25"/>
      <c r="BA24" s="25"/>
      <c r="BB24" s="16"/>
      <c r="BE24" s="25"/>
      <c r="BG24" s="20"/>
      <c r="BH24" s="16"/>
      <c r="BR24" s="16"/>
      <c r="BS24" s="17"/>
      <c r="BT24" s="17"/>
      <c r="BW24" s="20"/>
      <c r="BX24" s="20"/>
      <c r="BY24" s="20"/>
      <c r="CG24" s="20"/>
      <c r="CO24" s="27"/>
      <c r="CP24" s="17"/>
      <c r="CQ24" s="17"/>
      <c r="CT24" s="27"/>
      <c r="CW24" s="27"/>
      <c r="CX24" s="27"/>
      <c r="CY24" s="27"/>
      <c r="CZ24" s="27"/>
      <c r="DA24" s="27"/>
      <c r="DB24" s="27"/>
      <c r="DC24" s="27"/>
      <c r="DD24" s="27"/>
    </row>
    <row r="25" customFormat="false" ht="15.75" hidden="false" customHeight="false" outlineLevel="0" collapsed="false">
      <c r="A25" s="12"/>
      <c r="B25" s="12"/>
      <c r="C25" s="12"/>
      <c r="F25" s="20"/>
      <c r="G25" s="20"/>
      <c r="H25" s="20"/>
      <c r="I25" s="20"/>
      <c r="J25" s="20"/>
      <c r="K25" s="20"/>
      <c r="L25" s="20"/>
      <c r="N25" s="20"/>
      <c r="Q25" s="20"/>
      <c r="R25" s="20"/>
      <c r="S25" s="20"/>
      <c r="T25" s="20"/>
      <c r="U25" s="20"/>
      <c r="X25" s="20"/>
      <c r="AB25" s="20"/>
      <c r="AC25" s="20"/>
      <c r="AD25" s="16"/>
      <c r="AF25" s="17"/>
      <c r="AG25" s="25"/>
      <c r="AH25" s="25"/>
      <c r="AI25" s="26"/>
      <c r="AJ25" s="16"/>
      <c r="AK25" s="16"/>
      <c r="AL25" s="16"/>
      <c r="AM25" s="20"/>
      <c r="AN25" s="16"/>
      <c r="AO25" s="16"/>
      <c r="AQ25" s="16"/>
      <c r="AS25" s="16"/>
      <c r="AU25" s="16"/>
      <c r="AW25" s="25"/>
      <c r="AX25" s="25"/>
      <c r="AY25" s="25"/>
      <c r="AZ25" s="25"/>
      <c r="BA25" s="25"/>
      <c r="BB25" s="16"/>
      <c r="BE25" s="25"/>
      <c r="BG25" s="20"/>
      <c r="BH25" s="16"/>
      <c r="BR25" s="16"/>
      <c r="BS25" s="17"/>
      <c r="BT25" s="17"/>
      <c r="BW25" s="20"/>
      <c r="BX25" s="20"/>
      <c r="BY25" s="20"/>
      <c r="CG25" s="20"/>
      <c r="CO25" s="27"/>
      <c r="CP25" s="17"/>
      <c r="CQ25" s="17"/>
      <c r="CT25" s="27"/>
      <c r="CW25" s="27"/>
      <c r="CX25" s="27"/>
      <c r="CY25" s="27"/>
      <c r="CZ25" s="27"/>
      <c r="DA25" s="27"/>
      <c r="DB25" s="27"/>
      <c r="DC25" s="27"/>
      <c r="DD25" s="27"/>
    </row>
    <row r="26" customFormat="false" ht="15.75" hidden="false" customHeight="false" outlineLevel="0" collapsed="false">
      <c r="A26" s="12"/>
      <c r="B26" s="12"/>
      <c r="C26" s="12"/>
      <c r="F26" s="20"/>
      <c r="G26" s="20"/>
      <c r="H26" s="20"/>
      <c r="I26" s="20"/>
      <c r="J26" s="20"/>
      <c r="K26" s="20"/>
      <c r="L26" s="20"/>
      <c r="N26" s="20"/>
      <c r="Q26" s="20"/>
      <c r="R26" s="20"/>
      <c r="S26" s="20"/>
      <c r="T26" s="20"/>
      <c r="U26" s="20"/>
      <c r="X26" s="20"/>
      <c r="AB26" s="20"/>
      <c r="AC26" s="20"/>
      <c r="AD26" s="16"/>
      <c r="AF26" s="17"/>
      <c r="AG26" s="25"/>
      <c r="AH26" s="25"/>
      <c r="AI26" s="26"/>
      <c r="AJ26" s="16"/>
      <c r="AK26" s="16"/>
      <c r="AL26" s="16"/>
      <c r="AM26" s="20"/>
      <c r="AN26" s="16"/>
      <c r="AO26" s="16"/>
      <c r="AQ26" s="16"/>
      <c r="AS26" s="16"/>
      <c r="AU26" s="16"/>
      <c r="AW26" s="25"/>
      <c r="AX26" s="25"/>
      <c r="AY26" s="25"/>
      <c r="AZ26" s="25"/>
      <c r="BA26" s="25"/>
      <c r="BB26" s="16"/>
      <c r="BE26" s="25"/>
      <c r="BG26" s="20"/>
      <c r="BH26" s="16"/>
      <c r="BR26" s="16"/>
      <c r="BS26" s="17"/>
      <c r="BT26" s="17"/>
      <c r="BW26" s="20"/>
      <c r="BX26" s="20"/>
      <c r="BY26" s="20"/>
      <c r="CG26" s="20"/>
      <c r="CO26" s="27"/>
      <c r="CP26" s="17"/>
      <c r="CQ26" s="17"/>
      <c r="CT26" s="27"/>
      <c r="CW26" s="27"/>
      <c r="CX26" s="27"/>
      <c r="CY26" s="27"/>
      <c r="CZ26" s="27"/>
      <c r="DA26" s="27"/>
      <c r="DB26" s="27"/>
      <c r="DC26" s="27"/>
      <c r="DD26" s="27"/>
    </row>
    <row r="27" customFormat="false" ht="15.75" hidden="false" customHeight="false" outlineLevel="0" collapsed="false">
      <c r="A27" s="12"/>
      <c r="B27" s="12"/>
      <c r="C27" s="12"/>
      <c r="F27" s="20"/>
      <c r="G27" s="20"/>
      <c r="H27" s="20"/>
      <c r="I27" s="20"/>
      <c r="J27" s="20"/>
      <c r="K27" s="20"/>
      <c r="L27" s="20"/>
      <c r="N27" s="20"/>
      <c r="Q27" s="20"/>
      <c r="R27" s="20"/>
      <c r="S27" s="20"/>
      <c r="T27" s="20"/>
      <c r="U27" s="20"/>
      <c r="X27" s="20"/>
      <c r="AB27" s="20"/>
      <c r="AC27" s="20"/>
      <c r="AD27" s="16"/>
      <c r="AF27" s="17"/>
      <c r="AG27" s="25"/>
      <c r="AH27" s="25"/>
      <c r="AI27" s="26"/>
      <c r="AJ27" s="16"/>
      <c r="AK27" s="16"/>
      <c r="AL27" s="16"/>
      <c r="AM27" s="20"/>
      <c r="AN27" s="16"/>
      <c r="AO27" s="16"/>
      <c r="AQ27" s="16"/>
      <c r="AS27" s="16"/>
      <c r="AU27" s="16"/>
      <c r="AW27" s="25"/>
      <c r="AX27" s="25"/>
      <c r="AY27" s="25"/>
      <c r="AZ27" s="25"/>
      <c r="BA27" s="25"/>
      <c r="BB27" s="16"/>
      <c r="BE27" s="25"/>
      <c r="BG27" s="20"/>
      <c r="BH27" s="16"/>
      <c r="BR27" s="16"/>
      <c r="BS27" s="17"/>
      <c r="BT27" s="17"/>
      <c r="BW27" s="20"/>
      <c r="BX27" s="20"/>
      <c r="BY27" s="20"/>
      <c r="CG27" s="20"/>
      <c r="CO27" s="27"/>
      <c r="CP27" s="17"/>
      <c r="CQ27" s="17"/>
      <c r="CW27" s="27"/>
      <c r="CX27" s="27"/>
      <c r="CY27" s="27"/>
      <c r="CZ27" s="27"/>
      <c r="DA27" s="27"/>
      <c r="DB27" s="27"/>
      <c r="DC27" s="27"/>
      <c r="DD27" s="27"/>
    </row>
    <row r="28" customFormat="false" ht="15.75" hidden="false" customHeight="false" outlineLevel="0" collapsed="false">
      <c r="A28" s="12"/>
      <c r="B28" s="12"/>
      <c r="C28" s="12"/>
      <c r="F28" s="20"/>
      <c r="G28" s="20"/>
      <c r="H28" s="20"/>
      <c r="I28" s="20"/>
      <c r="J28" s="20"/>
      <c r="K28" s="20"/>
      <c r="L28" s="20"/>
      <c r="N28" s="20"/>
      <c r="Q28" s="20"/>
      <c r="R28" s="20"/>
      <c r="S28" s="20"/>
      <c r="T28" s="20"/>
      <c r="U28" s="20"/>
      <c r="X28" s="20"/>
      <c r="AB28" s="20"/>
      <c r="AC28" s="20"/>
      <c r="AD28" s="16"/>
      <c r="AF28" s="17"/>
      <c r="AG28" s="25"/>
      <c r="AH28" s="25"/>
      <c r="AI28" s="26"/>
      <c r="AJ28" s="16"/>
      <c r="AK28" s="16"/>
      <c r="AL28" s="16"/>
      <c r="AM28" s="20"/>
      <c r="AN28" s="16"/>
      <c r="AO28" s="16"/>
      <c r="AQ28" s="16"/>
      <c r="AS28" s="16"/>
      <c r="AU28" s="16"/>
      <c r="AW28" s="25"/>
      <c r="AX28" s="25"/>
      <c r="AY28" s="25"/>
      <c r="AZ28" s="25"/>
      <c r="BA28" s="25"/>
      <c r="BB28" s="16"/>
      <c r="BE28" s="25"/>
      <c r="BG28" s="20"/>
      <c r="BH28" s="16"/>
      <c r="BR28" s="16"/>
      <c r="BS28" s="17"/>
      <c r="BT28" s="17"/>
      <c r="BW28" s="20"/>
      <c r="BX28" s="20"/>
      <c r="BY28" s="20"/>
      <c r="CG28" s="20"/>
      <c r="CO28" s="27"/>
      <c r="CP28" s="17"/>
      <c r="CQ28" s="17"/>
      <c r="CW28" s="27"/>
      <c r="CX28" s="27"/>
      <c r="CY28" s="27"/>
      <c r="CZ28" s="27"/>
      <c r="DA28" s="27"/>
      <c r="DB28" s="27"/>
      <c r="DC28" s="27"/>
      <c r="DD28" s="27"/>
    </row>
    <row r="29" customFormat="false" ht="15.75" hidden="false" customHeight="false" outlineLevel="0" collapsed="false">
      <c r="A29" s="12"/>
      <c r="B29" s="12"/>
      <c r="C29" s="12"/>
      <c r="F29" s="20"/>
      <c r="G29" s="20"/>
      <c r="H29" s="20"/>
      <c r="I29" s="20"/>
      <c r="J29" s="20"/>
      <c r="K29" s="20"/>
      <c r="L29" s="20"/>
      <c r="N29" s="20"/>
      <c r="Q29" s="20"/>
      <c r="R29" s="20"/>
      <c r="S29" s="20"/>
      <c r="T29" s="20"/>
      <c r="U29" s="20"/>
      <c r="X29" s="20"/>
      <c r="AB29" s="20"/>
      <c r="AC29" s="20"/>
      <c r="AD29" s="16"/>
      <c r="AF29" s="17"/>
      <c r="AG29" s="25"/>
      <c r="AH29" s="25"/>
      <c r="AI29" s="26"/>
      <c r="AJ29" s="16"/>
      <c r="AK29" s="16"/>
      <c r="AL29" s="16"/>
      <c r="AM29" s="20"/>
      <c r="AN29" s="16"/>
      <c r="AO29" s="16"/>
      <c r="AQ29" s="16"/>
      <c r="AS29" s="16"/>
      <c r="AU29" s="16"/>
      <c r="AW29" s="25"/>
      <c r="AX29" s="25"/>
      <c r="AY29" s="25"/>
      <c r="AZ29" s="25"/>
      <c r="BA29" s="25"/>
      <c r="BB29" s="16"/>
      <c r="BE29" s="25"/>
      <c r="BG29" s="20"/>
      <c r="BH29" s="16"/>
      <c r="BR29" s="16"/>
      <c r="BS29" s="17"/>
      <c r="BT29" s="17"/>
      <c r="BW29" s="20"/>
      <c r="BX29" s="20"/>
      <c r="BY29" s="20"/>
      <c r="CG29" s="20"/>
      <c r="CO29" s="27"/>
      <c r="CP29" s="17"/>
      <c r="CQ29" s="17"/>
      <c r="CW29" s="27"/>
      <c r="CX29" s="27"/>
      <c r="CY29" s="27"/>
      <c r="CZ29" s="27"/>
      <c r="DA29" s="27"/>
      <c r="DB29" s="27"/>
      <c r="DC29" s="27"/>
      <c r="DD29" s="27"/>
    </row>
    <row r="30" customFormat="false" ht="15.75" hidden="false" customHeight="false" outlineLevel="0" collapsed="false">
      <c r="A30" s="12"/>
      <c r="B30" s="12"/>
      <c r="C30" s="12"/>
      <c r="F30" s="20"/>
      <c r="G30" s="20"/>
      <c r="H30" s="20"/>
      <c r="I30" s="20"/>
      <c r="J30" s="20"/>
      <c r="K30" s="20"/>
      <c r="L30" s="20"/>
      <c r="N30" s="20"/>
      <c r="Q30" s="20"/>
      <c r="R30" s="20"/>
      <c r="S30" s="20"/>
      <c r="T30" s="20"/>
      <c r="U30" s="20"/>
      <c r="X30" s="20"/>
      <c r="AB30" s="20"/>
      <c r="AC30" s="20"/>
      <c r="AD30" s="16"/>
      <c r="AF30" s="17"/>
      <c r="AG30" s="25"/>
      <c r="AH30" s="25"/>
      <c r="AI30" s="26"/>
      <c r="AJ30" s="16"/>
      <c r="AK30" s="16"/>
      <c r="AL30" s="16"/>
      <c r="AM30" s="20"/>
      <c r="AN30" s="16"/>
      <c r="AO30" s="16"/>
      <c r="AQ30" s="16"/>
      <c r="AS30" s="16"/>
      <c r="AU30" s="16"/>
      <c r="AW30" s="25"/>
      <c r="AX30" s="25"/>
      <c r="AY30" s="25"/>
      <c r="AZ30" s="25"/>
      <c r="BA30" s="25"/>
      <c r="BB30" s="16"/>
      <c r="BE30" s="25"/>
      <c r="BG30" s="20"/>
      <c r="BH30" s="16"/>
      <c r="BR30" s="16"/>
      <c r="BS30" s="17"/>
      <c r="BT30" s="17"/>
      <c r="BW30" s="20"/>
      <c r="BX30" s="20"/>
      <c r="BY30" s="20"/>
      <c r="CG30" s="20"/>
      <c r="CO30" s="27"/>
      <c r="CP30" s="17"/>
      <c r="CQ30" s="17"/>
    </row>
    <row r="31" customFormat="false" ht="15.75" hidden="false" customHeight="false" outlineLevel="0" collapsed="false">
      <c r="A31" s="12"/>
      <c r="B31" s="12"/>
      <c r="C31" s="12"/>
      <c r="F31" s="20"/>
      <c r="G31" s="20"/>
      <c r="H31" s="20"/>
      <c r="I31" s="20"/>
      <c r="J31" s="20"/>
      <c r="K31" s="20"/>
      <c r="L31" s="20"/>
      <c r="N31" s="20"/>
      <c r="Q31" s="20"/>
      <c r="R31" s="20"/>
      <c r="S31" s="20"/>
      <c r="T31" s="20"/>
      <c r="U31" s="20"/>
      <c r="X31" s="20"/>
      <c r="AB31" s="20"/>
      <c r="AC31" s="20"/>
      <c r="AD31" s="16"/>
      <c r="AF31" s="17"/>
      <c r="AG31" s="25"/>
      <c r="AH31" s="25"/>
      <c r="AI31" s="26"/>
      <c r="AJ31" s="16"/>
      <c r="AK31" s="16"/>
      <c r="AL31" s="16"/>
      <c r="AM31" s="20"/>
      <c r="AN31" s="16"/>
      <c r="AO31" s="16"/>
      <c r="AQ31" s="16"/>
      <c r="AS31" s="16"/>
      <c r="AU31" s="16"/>
      <c r="AW31" s="25"/>
      <c r="AX31" s="25"/>
      <c r="AY31" s="25"/>
      <c r="AZ31" s="25"/>
      <c r="BA31" s="25"/>
      <c r="BB31" s="16"/>
      <c r="BE31" s="25"/>
      <c r="BG31" s="20"/>
      <c r="BH31" s="16"/>
      <c r="BR31" s="16"/>
      <c r="BS31" s="17"/>
      <c r="BT31" s="17"/>
      <c r="BW31" s="20"/>
      <c r="BX31" s="20"/>
      <c r="BY31" s="20"/>
      <c r="CG31" s="20"/>
      <c r="CO31" s="27"/>
      <c r="CP31" s="17"/>
      <c r="CQ31" s="17"/>
    </row>
    <row r="32" customFormat="false" ht="15.75" hidden="false" customHeight="false" outlineLevel="0" collapsed="false">
      <c r="A32" s="12"/>
      <c r="B32" s="12"/>
      <c r="C32" s="12"/>
      <c r="F32" s="20"/>
      <c r="G32" s="20"/>
      <c r="H32" s="20"/>
      <c r="I32" s="20"/>
      <c r="J32" s="20"/>
      <c r="K32" s="20"/>
      <c r="L32" s="20"/>
      <c r="N32" s="20"/>
      <c r="Q32" s="20"/>
      <c r="R32" s="20"/>
      <c r="S32" s="20"/>
      <c r="T32" s="20"/>
      <c r="U32" s="20"/>
      <c r="X32" s="20"/>
      <c r="AB32" s="20"/>
      <c r="AC32" s="20"/>
      <c r="AD32" s="16"/>
      <c r="AF32" s="17"/>
      <c r="AG32" s="25"/>
      <c r="AH32" s="25"/>
      <c r="AI32" s="26"/>
      <c r="AJ32" s="16"/>
      <c r="AK32" s="16"/>
      <c r="AL32" s="16"/>
      <c r="AM32" s="20"/>
      <c r="AN32" s="16"/>
      <c r="AO32" s="16"/>
      <c r="AQ32" s="16"/>
      <c r="AS32" s="16"/>
      <c r="AU32" s="16"/>
      <c r="AW32" s="25"/>
      <c r="AX32" s="25"/>
      <c r="AY32" s="25"/>
      <c r="AZ32" s="25"/>
      <c r="BA32" s="25"/>
      <c r="BB32" s="16"/>
      <c r="BE32" s="25"/>
      <c r="BG32" s="20"/>
      <c r="BH32" s="16"/>
      <c r="BR32" s="16"/>
      <c r="BS32" s="17"/>
      <c r="BT32" s="17"/>
      <c r="BW32" s="20"/>
      <c r="BX32" s="20"/>
      <c r="BY32" s="20"/>
      <c r="CG32" s="20"/>
      <c r="CO32" s="27"/>
      <c r="CP32" s="17"/>
      <c r="CQ32" s="17"/>
    </row>
    <row r="33" customFormat="false" ht="15.75" hidden="false" customHeight="false" outlineLevel="0" collapsed="false">
      <c r="A33" s="12"/>
      <c r="B33" s="12"/>
      <c r="C33" s="12"/>
      <c r="F33" s="20"/>
      <c r="G33" s="20"/>
      <c r="H33" s="20"/>
      <c r="I33" s="20"/>
      <c r="J33" s="20"/>
      <c r="K33" s="20"/>
      <c r="L33" s="20"/>
      <c r="N33" s="20"/>
      <c r="Q33" s="20"/>
      <c r="R33" s="20"/>
      <c r="S33" s="20"/>
      <c r="T33" s="20"/>
      <c r="U33" s="20"/>
      <c r="X33" s="20"/>
      <c r="AB33" s="20"/>
      <c r="AC33" s="20"/>
      <c r="AD33" s="16"/>
      <c r="AF33" s="17"/>
      <c r="AG33" s="25"/>
      <c r="AH33" s="25"/>
      <c r="AI33" s="26"/>
      <c r="AJ33" s="16"/>
      <c r="AK33" s="16"/>
      <c r="AL33" s="16"/>
      <c r="AM33" s="20"/>
      <c r="AN33" s="16"/>
      <c r="AO33" s="16"/>
      <c r="AQ33" s="16"/>
      <c r="AS33" s="16"/>
      <c r="AU33" s="16"/>
      <c r="AW33" s="25"/>
      <c r="AX33" s="25"/>
      <c r="AY33" s="25"/>
      <c r="AZ33" s="25"/>
      <c r="BA33" s="25"/>
      <c r="BB33" s="16"/>
      <c r="BE33" s="25"/>
      <c r="BG33" s="20"/>
      <c r="BH33" s="16"/>
      <c r="BR33" s="16"/>
      <c r="BS33" s="17"/>
      <c r="BT33" s="17"/>
      <c r="BW33" s="20"/>
      <c r="BX33" s="20"/>
      <c r="BY33" s="20"/>
      <c r="CG33" s="20"/>
      <c r="CO33" s="27"/>
      <c r="CP33" s="17"/>
      <c r="CQ33" s="17"/>
    </row>
    <row r="34" customFormat="false" ht="15.75" hidden="false" customHeight="false" outlineLevel="0" collapsed="false">
      <c r="A34" s="12"/>
      <c r="B34" s="12"/>
      <c r="C34" s="12"/>
      <c r="F34" s="20"/>
      <c r="G34" s="20"/>
      <c r="H34" s="20"/>
      <c r="I34" s="20"/>
      <c r="J34" s="20"/>
      <c r="K34" s="20"/>
      <c r="L34" s="20"/>
      <c r="N34" s="20"/>
      <c r="Q34" s="20"/>
      <c r="R34" s="20"/>
      <c r="S34" s="20"/>
      <c r="T34" s="20"/>
      <c r="U34" s="20"/>
      <c r="X34" s="20"/>
      <c r="AB34" s="20"/>
      <c r="AC34" s="20"/>
      <c r="AD34" s="16"/>
      <c r="AF34" s="17"/>
      <c r="AG34" s="25"/>
      <c r="AH34" s="25"/>
      <c r="AI34" s="26"/>
      <c r="AJ34" s="16"/>
      <c r="AK34" s="16"/>
      <c r="AL34" s="16"/>
      <c r="AM34" s="20"/>
      <c r="AN34" s="16"/>
      <c r="AO34" s="16"/>
      <c r="AQ34" s="16"/>
      <c r="AS34" s="16"/>
      <c r="AU34" s="16"/>
      <c r="AW34" s="25"/>
      <c r="AX34" s="25"/>
      <c r="AY34" s="25"/>
      <c r="AZ34" s="25"/>
      <c r="BA34" s="25"/>
      <c r="BB34" s="16"/>
      <c r="BE34" s="25"/>
      <c r="BG34" s="20"/>
      <c r="BH34" s="16"/>
      <c r="BR34" s="16"/>
      <c r="BS34" s="17"/>
      <c r="BT34" s="17"/>
      <c r="BW34" s="20"/>
      <c r="BX34" s="20"/>
      <c r="BY34" s="20"/>
      <c r="CG34" s="20"/>
      <c r="CO34" s="27"/>
      <c r="CP34" s="17"/>
      <c r="CQ34" s="17"/>
    </row>
    <row r="35" customFormat="false" ht="15.75" hidden="false" customHeight="false" outlineLevel="0" collapsed="false">
      <c r="A35" s="12"/>
      <c r="B35" s="12"/>
      <c r="C35" s="12"/>
      <c r="F35" s="20"/>
      <c r="G35" s="20"/>
      <c r="H35" s="20"/>
      <c r="I35" s="20"/>
      <c r="J35" s="20"/>
      <c r="K35" s="20"/>
      <c r="L35" s="20"/>
      <c r="N35" s="20"/>
      <c r="Q35" s="20"/>
      <c r="R35" s="20"/>
      <c r="S35" s="20"/>
      <c r="T35" s="20"/>
      <c r="U35" s="20"/>
      <c r="X35" s="20"/>
      <c r="AB35" s="20"/>
      <c r="AC35" s="20"/>
      <c r="AD35" s="16"/>
      <c r="AF35" s="17"/>
      <c r="AG35" s="25"/>
      <c r="AH35" s="25"/>
      <c r="AI35" s="26"/>
      <c r="AJ35" s="16"/>
      <c r="AK35" s="16"/>
      <c r="AL35" s="16"/>
      <c r="AM35" s="20"/>
      <c r="AN35" s="16"/>
      <c r="AO35" s="16"/>
      <c r="AQ35" s="16"/>
      <c r="AS35" s="16"/>
      <c r="AU35" s="16"/>
      <c r="AW35" s="25"/>
      <c r="AX35" s="25"/>
      <c r="AY35" s="25"/>
      <c r="AZ35" s="25"/>
      <c r="BA35" s="25"/>
      <c r="BB35" s="16"/>
      <c r="BE35" s="25"/>
      <c r="BG35" s="20"/>
      <c r="BH35" s="16"/>
      <c r="BR35" s="16"/>
      <c r="BS35" s="17"/>
      <c r="BT35" s="17"/>
      <c r="BW35" s="20"/>
      <c r="BX35" s="20"/>
      <c r="BY35" s="20"/>
      <c r="CG35" s="20"/>
      <c r="CO35" s="27"/>
      <c r="CP35" s="17"/>
      <c r="CQ35" s="17"/>
    </row>
    <row r="36" customFormat="false" ht="15.75" hidden="false" customHeight="false" outlineLevel="0" collapsed="false">
      <c r="A36" s="12"/>
      <c r="B36" s="12"/>
      <c r="C36" s="12"/>
      <c r="F36" s="20"/>
      <c r="G36" s="20"/>
      <c r="H36" s="20"/>
      <c r="I36" s="20"/>
      <c r="J36" s="20"/>
      <c r="K36" s="20"/>
      <c r="L36" s="20"/>
      <c r="N36" s="20"/>
      <c r="Q36" s="20"/>
      <c r="R36" s="20"/>
      <c r="S36" s="20"/>
      <c r="T36" s="20"/>
      <c r="U36" s="20"/>
      <c r="X36" s="20"/>
      <c r="AB36" s="20"/>
      <c r="AC36" s="20"/>
      <c r="AD36" s="16"/>
      <c r="AF36" s="17"/>
      <c r="AG36" s="25"/>
      <c r="AH36" s="25"/>
      <c r="AI36" s="26"/>
      <c r="AJ36" s="16"/>
      <c r="AK36" s="16"/>
      <c r="AL36" s="16"/>
      <c r="AM36" s="20"/>
      <c r="AN36" s="16"/>
      <c r="AO36" s="16"/>
      <c r="AQ36" s="16"/>
      <c r="AS36" s="16"/>
      <c r="AU36" s="16"/>
      <c r="AW36" s="25"/>
      <c r="AX36" s="25"/>
      <c r="AY36" s="25"/>
      <c r="AZ36" s="25"/>
      <c r="BA36" s="25"/>
      <c r="BB36" s="16"/>
      <c r="BE36" s="25"/>
      <c r="BG36" s="20"/>
      <c r="BH36" s="16"/>
      <c r="BR36" s="16"/>
      <c r="BS36" s="17"/>
      <c r="BT36" s="17"/>
      <c r="BW36" s="20"/>
      <c r="BX36" s="20"/>
      <c r="BY36" s="20"/>
      <c r="CG36" s="20"/>
      <c r="CO36" s="27"/>
      <c r="CP36" s="17"/>
      <c r="CQ36" s="17"/>
    </row>
    <row r="37" customFormat="false" ht="15.75" hidden="false" customHeight="false" outlineLevel="0" collapsed="false">
      <c r="A37" s="12"/>
      <c r="B37" s="12"/>
      <c r="C37" s="12"/>
      <c r="F37" s="20"/>
      <c r="G37" s="20"/>
      <c r="H37" s="20"/>
      <c r="I37" s="20"/>
      <c r="J37" s="20"/>
      <c r="K37" s="20"/>
      <c r="L37" s="20"/>
      <c r="N37" s="20"/>
      <c r="Q37" s="20"/>
      <c r="R37" s="20"/>
      <c r="S37" s="20"/>
      <c r="T37" s="20"/>
      <c r="U37" s="20"/>
      <c r="X37" s="20"/>
      <c r="AB37" s="20"/>
      <c r="AC37" s="20"/>
      <c r="AD37" s="16"/>
      <c r="AF37" s="17"/>
      <c r="AG37" s="25"/>
      <c r="AH37" s="25"/>
      <c r="AI37" s="26"/>
      <c r="AJ37" s="16"/>
      <c r="AK37" s="16"/>
      <c r="AL37" s="16"/>
      <c r="AM37" s="20"/>
      <c r="AN37" s="16"/>
      <c r="AO37" s="16"/>
      <c r="AQ37" s="16"/>
      <c r="AS37" s="16"/>
      <c r="AU37" s="16"/>
      <c r="AW37" s="25"/>
      <c r="AX37" s="25"/>
      <c r="AY37" s="25"/>
      <c r="AZ37" s="25"/>
      <c r="BA37" s="25"/>
      <c r="BB37" s="16"/>
      <c r="BE37" s="25"/>
      <c r="BG37" s="20"/>
      <c r="BH37" s="16"/>
      <c r="BR37" s="16"/>
      <c r="BS37" s="17"/>
      <c r="BT37" s="17"/>
      <c r="BW37" s="20"/>
      <c r="BX37" s="20"/>
      <c r="BY37" s="20"/>
      <c r="CG37" s="20"/>
      <c r="CO37" s="27"/>
      <c r="CP37" s="17"/>
      <c r="CQ37" s="17"/>
    </row>
    <row r="38" customFormat="false" ht="15.75" hidden="false" customHeight="false" outlineLevel="0" collapsed="false">
      <c r="A38" s="12"/>
      <c r="B38" s="12"/>
      <c r="C38" s="12"/>
      <c r="F38" s="20"/>
      <c r="G38" s="20"/>
      <c r="H38" s="20"/>
      <c r="I38" s="20"/>
      <c r="J38" s="20"/>
      <c r="K38" s="20"/>
      <c r="L38" s="20"/>
      <c r="N38" s="20"/>
      <c r="Q38" s="20"/>
      <c r="R38" s="20"/>
      <c r="S38" s="20"/>
      <c r="T38" s="20"/>
      <c r="U38" s="20"/>
      <c r="X38" s="20"/>
      <c r="AB38" s="20"/>
      <c r="AC38" s="20"/>
      <c r="AD38" s="16"/>
      <c r="AF38" s="17"/>
      <c r="AG38" s="25"/>
      <c r="AH38" s="25"/>
      <c r="AI38" s="26"/>
      <c r="AJ38" s="16"/>
      <c r="AK38" s="16"/>
      <c r="AL38" s="16"/>
      <c r="AM38" s="20"/>
      <c r="AN38" s="16"/>
      <c r="AO38" s="16"/>
      <c r="AQ38" s="16"/>
      <c r="AS38" s="16"/>
      <c r="AU38" s="16"/>
      <c r="AW38" s="25"/>
      <c r="AX38" s="25"/>
      <c r="AY38" s="25"/>
      <c r="AZ38" s="25"/>
      <c r="BA38" s="25"/>
      <c r="BB38" s="16"/>
      <c r="BE38" s="25"/>
      <c r="BG38" s="20"/>
      <c r="BH38" s="16"/>
      <c r="BR38" s="16"/>
      <c r="BS38" s="17"/>
      <c r="BT38" s="17"/>
      <c r="BW38" s="20"/>
      <c r="BX38" s="20"/>
      <c r="BY38" s="20"/>
      <c r="CG38" s="20"/>
      <c r="CO38" s="27"/>
      <c r="CP38" s="17"/>
      <c r="CQ38" s="17"/>
    </row>
    <row r="39" customFormat="false" ht="15.75" hidden="false" customHeight="false" outlineLevel="0" collapsed="false">
      <c r="A39" s="12"/>
      <c r="B39" s="12"/>
      <c r="C39" s="12"/>
      <c r="F39" s="20"/>
      <c r="G39" s="20"/>
      <c r="H39" s="20"/>
      <c r="I39" s="20"/>
      <c r="J39" s="20"/>
      <c r="K39" s="20"/>
      <c r="L39" s="20"/>
      <c r="N39" s="20"/>
      <c r="Q39" s="20"/>
      <c r="R39" s="20"/>
      <c r="S39" s="20"/>
      <c r="T39" s="20"/>
      <c r="U39" s="20"/>
      <c r="X39" s="20"/>
      <c r="AB39" s="20"/>
      <c r="AC39" s="20"/>
      <c r="AD39" s="16"/>
      <c r="AF39" s="17"/>
      <c r="AG39" s="25"/>
      <c r="AH39" s="25"/>
      <c r="AI39" s="26"/>
      <c r="AJ39" s="16"/>
      <c r="AK39" s="16"/>
      <c r="AL39" s="16"/>
      <c r="AM39" s="20"/>
      <c r="AN39" s="16"/>
      <c r="AO39" s="16"/>
      <c r="AQ39" s="16"/>
      <c r="AS39" s="16"/>
      <c r="AU39" s="16"/>
      <c r="AW39" s="25"/>
      <c r="AX39" s="25"/>
      <c r="AY39" s="25"/>
      <c r="AZ39" s="25"/>
      <c r="BA39" s="25"/>
      <c r="BB39" s="16"/>
      <c r="BE39" s="25"/>
      <c r="BG39" s="20"/>
      <c r="BH39" s="16"/>
      <c r="BR39" s="16"/>
      <c r="BS39" s="17"/>
      <c r="BT39" s="17"/>
      <c r="BW39" s="20"/>
      <c r="BX39" s="20"/>
      <c r="BY39" s="20"/>
      <c r="CG39" s="20"/>
      <c r="CO39" s="27"/>
      <c r="CP39" s="17"/>
      <c r="CQ39" s="17"/>
    </row>
    <row r="40" customFormat="false" ht="15.75" hidden="false" customHeight="false" outlineLevel="0" collapsed="false">
      <c r="A40" s="12"/>
      <c r="B40" s="12"/>
      <c r="C40" s="12"/>
      <c r="F40" s="20"/>
      <c r="G40" s="20"/>
      <c r="H40" s="20"/>
      <c r="I40" s="20"/>
      <c r="J40" s="20"/>
      <c r="K40" s="20"/>
      <c r="L40" s="20"/>
      <c r="N40" s="20"/>
      <c r="Q40" s="20"/>
      <c r="R40" s="20"/>
      <c r="S40" s="20"/>
      <c r="T40" s="20"/>
      <c r="U40" s="20"/>
      <c r="X40" s="20"/>
      <c r="AB40" s="20"/>
      <c r="AC40" s="20"/>
      <c r="AD40" s="16"/>
      <c r="AF40" s="17"/>
      <c r="AG40" s="25"/>
      <c r="AH40" s="25"/>
      <c r="AI40" s="26"/>
      <c r="AJ40" s="16"/>
      <c r="AK40" s="16"/>
      <c r="AL40" s="16"/>
      <c r="AM40" s="20"/>
      <c r="AN40" s="16"/>
      <c r="AO40" s="16"/>
      <c r="AQ40" s="16"/>
      <c r="AS40" s="16"/>
      <c r="AU40" s="16"/>
      <c r="AW40" s="25"/>
      <c r="AX40" s="25"/>
      <c r="AY40" s="25"/>
      <c r="AZ40" s="25"/>
      <c r="BA40" s="25"/>
      <c r="BB40" s="16"/>
      <c r="BE40" s="25"/>
      <c r="BG40" s="20"/>
      <c r="BH40" s="16"/>
      <c r="BR40" s="16"/>
      <c r="BS40" s="17"/>
      <c r="BT40" s="17"/>
      <c r="BW40" s="20"/>
      <c r="BX40" s="20"/>
      <c r="BY40" s="20"/>
      <c r="CG40" s="20"/>
      <c r="CO40" s="27"/>
      <c r="CP40" s="17"/>
      <c r="CQ40" s="17"/>
    </row>
    <row r="41" customFormat="false" ht="15.75" hidden="false" customHeight="false" outlineLevel="0" collapsed="false">
      <c r="A41" s="12"/>
      <c r="B41" s="12"/>
      <c r="C41" s="12"/>
      <c r="F41" s="20"/>
      <c r="G41" s="20"/>
      <c r="H41" s="20"/>
      <c r="I41" s="20"/>
      <c r="J41" s="20"/>
      <c r="K41" s="20"/>
      <c r="L41" s="20"/>
      <c r="N41" s="20"/>
      <c r="Q41" s="20"/>
      <c r="R41" s="20"/>
      <c r="S41" s="20"/>
      <c r="T41" s="20"/>
      <c r="U41" s="20"/>
      <c r="X41" s="20"/>
      <c r="AB41" s="20"/>
      <c r="AC41" s="20"/>
      <c r="AD41" s="16"/>
      <c r="AF41" s="17"/>
      <c r="AG41" s="25"/>
      <c r="AH41" s="25"/>
      <c r="AI41" s="26"/>
      <c r="AJ41" s="16"/>
      <c r="AK41" s="16"/>
      <c r="AL41" s="16"/>
      <c r="AM41" s="20"/>
      <c r="AN41" s="16"/>
      <c r="AO41" s="16"/>
      <c r="AQ41" s="16"/>
      <c r="AS41" s="16"/>
      <c r="AU41" s="16"/>
      <c r="AW41" s="25"/>
      <c r="AX41" s="25"/>
      <c r="AY41" s="25"/>
      <c r="AZ41" s="25"/>
      <c r="BA41" s="25"/>
      <c r="BB41" s="16"/>
      <c r="BE41" s="25"/>
      <c r="BG41" s="20"/>
      <c r="BH41" s="16"/>
      <c r="BR41" s="16"/>
      <c r="BS41" s="17"/>
      <c r="BT41" s="17"/>
      <c r="BW41" s="20"/>
      <c r="BX41" s="20"/>
      <c r="BY41" s="20"/>
      <c r="CG41" s="20"/>
      <c r="CO41" s="27"/>
      <c r="CP41" s="17"/>
      <c r="CQ41" s="17"/>
    </row>
    <row r="42" customFormat="false" ht="15.75" hidden="false" customHeight="false" outlineLevel="0" collapsed="false">
      <c r="A42" s="12"/>
      <c r="B42" s="12"/>
      <c r="C42" s="12"/>
      <c r="F42" s="20"/>
      <c r="G42" s="20"/>
      <c r="H42" s="20"/>
      <c r="I42" s="20"/>
      <c r="J42" s="20"/>
      <c r="K42" s="20"/>
      <c r="L42" s="20"/>
      <c r="N42" s="20"/>
      <c r="Q42" s="20"/>
      <c r="R42" s="20"/>
      <c r="S42" s="20"/>
      <c r="T42" s="20"/>
      <c r="U42" s="20"/>
      <c r="X42" s="20"/>
      <c r="AB42" s="20"/>
      <c r="AC42" s="20"/>
      <c r="AD42" s="16"/>
      <c r="AF42" s="17"/>
      <c r="AG42" s="25"/>
      <c r="AH42" s="25"/>
      <c r="AI42" s="26"/>
      <c r="AJ42" s="16"/>
      <c r="AK42" s="16"/>
      <c r="AL42" s="16"/>
      <c r="AM42" s="20"/>
      <c r="AN42" s="16"/>
      <c r="AO42" s="16"/>
      <c r="AQ42" s="16"/>
      <c r="AS42" s="16"/>
      <c r="AU42" s="16"/>
      <c r="AW42" s="25"/>
      <c r="AX42" s="25"/>
      <c r="AY42" s="25"/>
      <c r="AZ42" s="25"/>
      <c r="BA42" s="25"/>
      <c r="BB42" s="16"/>
      <c r="BE42" s="25"/>
      <c r="BG42" s="20"/>
      <c r="BH42" s="16"/>
      <c r="BR42" s="16"/>
      <c r="BS42" s="17"/>
      <c r="BT42" s="17"/>
      <c r="BW42" s="20"/>
      <c r="BX42" s="20"/>
      <c r="BY42" s="20"/>
      <c r="CG42" s="20"/>
      <c r="CO42" s="27"/>
      <c r="CP42" s="17"/>
      <c r="CQ42" s="17"/>
    </row>
    <row r="43" customFormat="false" ht="15.75" hidden="false" customHeight="false" outlineLevel="0" collapsed="false">
      <c r="A43" s="12"/>
      <c r="B43" s="12"/>
      <c r="C43" s="12"/>
      <c r="F43" s="20"/>
      <c r="G43" s="20"/>
      <c r="H43" s="20"/>
      <c r="I43" s="20"/>
      <c r="J43" s="20"/>
      <c r="K43" s="20"/>
      <c r="L43" s="20"/>
      <c r="N43" s="20"/>
      <c r="Q43" s="20"/>
      <c r="R43" s="20"/>
      <c r="S43" s="20"/>
      <c r="T43" s="20"/>
      <c r="U43" s="20"/>
      <c r="X43" s="20"/>
      <c r="AB43" s="20"/>
      <c r="AC43" s="20"/>
      <c r="AD43" s="16"/>
      <c r="AF43" s="17"/>
      <c r="AG43" s="25"/>
      <c r="AH43" s="25"/>
      <c r="AI43" s="26"/>
      <c r="AJ43" s="16"/>
      <c r="AK43" s="16"/>
      <c r="AL43" s="16"/>
      <c r="AM43" s="20"/>
      <c r="AN43" s="16"/>
      <c r="AO43" s="16"/>
      <c r="AQ43" s="16"/>
      <c r="AS43" s="16"/>
      <c r="AU43" s="16"/>
      <c r="AW43" s="25"/>
      <c r="AX43" s="25"/>
      <c r="AY43" s="25"/>
      <c r="AZ43" s="25"/>
      <c r="BA43" s="25"/>
      <c r="BB43" s="16"/>
      <c r="BE43" s="25"/>
      <c r="BG43" s="20"/>
      <c r="BH43" s="16"/>
      <c r="BR43" s="16"/>
      <c r="BS43" s="17"/>
      <c r="BT43" s="17"/>
      <c r="BW43" s="20"/>
      <c r="BX43" s="20"/>
      <c r="BY43" s="20"/>
      <c r="CG43" s="20"/>
      <c r="CO43" s="27"/>
      <c r="CP43" s="17"/>
      <c r="CQ43" s="17"/>
    </row>
    <row r="44" customFormat="false" ht="15.75" hidden="false" customHeight="false" outlineLevel="0" collapsed="false">
      <c r="A44" s="12"/>
      <c r="B44" s="12"/>
      <c r="C44" s="12"/>
      <c r="F44" s="20"/>
      <c r="G44" s="20"/>
      <c r="H44" s="20"/>
      <c r="I44" s="20"/>
      <c r="J44" s="20"/>
      <c r="K44" s="20"/>
      <c r="L44" s="20"/>
      <c r="N44" s="20"/>
      <c r="Q44" s="20"/>
      <c r="R44" s="20"/>
      <c r="S44" s="20"/>
      <c r="T44" s="20"/>
      <c r="U44" s="20"/>
      <c r="X44" s="20"/>
      <c r="AB44" s="20"/>
      <c r="AC44" s="20"/>
      <c r="AD44" s="16"/>
      <c r="AF44" s="17"/>
      <c r="AG44" s="25"/>
      <c r="AH44" s="25"/>
      <c r="AI44" s="26"/>
      <c r="AJ44" s="16"/>
      <c r="AK44" s="16"/>
      <c r="AL44" s="16"/>
      <c r="AM44" s="20"/>
      <c r="AN44" s="16"/>
      <c r="AO44" s="16"/>
      <c r="AQ44" s="16"/>
      <c r="AS44" s="16"/>
      <c r="AU44" s="16"/>
      <c r="AW44" s="25"/>
      <c r="AX44" s="25"/>
      <c r="AY44" s="25"/>
      <c r="AZ44" s="25"/>
      <c r="BA44" s="25"/>
      <c r="BB44" s="16"/>
      <c r="BE44" s="25"/>
      <c r="BG44" s="20"/>
      <c r="BH44" s="16"/>
      <c r="BR44" s="16"/>
      <c r="BS44" s="17"/>
      <c r="BT44" s="17"/>
      <c r="BW44" s="20"/>
      <c r="BX44" s="20"/>
      <c r="BY44" s="20"/>
      <c r="CG44" s="20"/>
      <c r="CO44" s="27"/>
      <c r="CP44" s="17"/>
      <c r="CQ44" s="17"/>
    </row>
    <row r="45" customFormat="false" ht="15.75" hidden="false" customHeight="false" outlineLevel="0" collapsed="false">
      <c r="A45" s="12"/>
      <c r="B45" s="12"/>
      <c r="C45" s="12"/>
      <c r="F45" s="20"/>
      <c r="G45" s="20"/>
      <c r="H45" s="20"/>
      <c r="I45" s="20"/>
      <c r="J45" s="20"/>
      <c r="K45" s="20"/>
      <c r="L45" s="20"/>
      <c r="N45" s="20"/>
      <c r="Q45" s="20"/>
      <c r="R45" s="20"/>
      <c r="S45" s="20"/>
      <c r="T45" s="20"/>
      <c r="U45" s="20"/>
      <c r="X45" s="20"/>
      <c r="AB45" s="20"/>
      <c r="AC45" s="20"/>
      <c r="AD45" s="16"/>
      <c r="AF45" s="17"/>
      <c r="AG45" s="25"/>
      <c r="AH45" s="25"/>
      <c r="AI45" s="26"/>
      <c r="AJ45" s="16"/>
      <c r="AK45" s="16"/>
      <c r="AL45" s="16"/>
      <c r="AM45" s="20"/>
      <c r="AN45" s="16"/>
      <c r="AO45" s="16"/>
      <c r="AQ45" s="16"/>
      <c r="AS45" s="16"/>
      <c r="AU45" s="16"/>
      <c r="AW45" s="25"/>
      <c r="AX45" s="25"/>
      <c r="AY45" s="25"/>
      <c r="AZ45" s="25"/>
      <c r="BA45" s="25"/>
      <c r="BB45" s="16"/>
      <c r="BE45" s="25"/>
      <c r="BG45" s="20"/>
      <c r="BH45" s="16"/>
      <c r="BR45" s="16"/>
      <c r="BS45" s="17"/>
      <c r="BT45" s="17"/>
      <c r="BW45" s="20"/>
      <c r="BX45" s="20"/>
      <c r="BY45" s="20"/>
      <c r="CG45" s="20"/>
      <c r="CO45" s="27"/>
      <c r="CP45" s="17"/>
      <c r="CQ45" s="17"/>
    </row>
    <row r="46" customFormat="false" ht="15.75" hidden="false" customHeight="false" outlineLevel="0" collapsed="false">
      <c r="A46" s="12"/>
      <c r="B46" s="12"/>
      <c r="C46" s="12"/>
      <c r="F46" s="20"/>
      <c r="G46" s="20"/>
      <c r="H46" s="20"/>
      <c r="I46" s="20"/>
      <c r="J46" s="20"/>
      <c r="K46" s="20"/>
      <c r="L46" s="20"/>
      <c r="N46" s="20"/>
      <c r="Q46" s="20"/>
      <c r="R46" s="20"/>
      <c r="S46" s="20"/>
      <c r="T46" s="20"/>
      <c r="U46" s="20"/>
      <c r="X46" s="20"/>
      <c r="AB46" s="20"/>
      <c r="AC46" s="20"/>
      <c r="AD46" s="16"/>
      <c r="AF46" s="17"/>
      <c r="AG46" s="25"/>
      <c r="AH46" s="25"/>
      <c r="AI46" s="26"/>
      <c r="AJ46" s="16"/>
      <c r="AK46" s="16"/>
      <c r="AL46" s="16"/>
      <c r="AM46" s="20"/>
      <c r="AN46" s="16"/>
      <c r="AO46" s="16"/>
      <c r="AQ46" s="16"/>
      <c r="AS46" s="16"/>
      <c r="AU46" s="16"/>
      <c r="AW46" s="25"/>
      <c r="AX46" s="25"/>
      <c r="AY46" s="25"/>
      <c r="AZ46" s="25"/>
      <c r="BA46" s="25"/>
      <c r="BB46" s="16"/>
      <c r="BE46" s="25"/>
      <c r="BG46" s="20"/>
      <c r="BH46" s="16"/>
      <c r="BR46" s="16"/>
      <c r="BS46" s="17"/>
      <c r="BT46" s="17"/>
      <c r="BW46" s="20"/>
      <c r="BX46" s="20"/>
      <c r="BY46" s="20"/>
      <c r="CG46" s="20"/>
      <c r="CO46" s="27"/>
      <c r="CP46" s="17"/>
      <c r="CQ46" s="17"/>
    </row>
    <row r="47" customFormat="false" ht="15.75" hidden="false" customHeight="false" outlineLevel="0" collapsed="false">
      <c r="A47" s="12"/>
      <c r="B47" s="12"/>
      <c r="C47" s="12"/>
      <c r="F47" s="20"/>
      <c r="G47" s="20"/>
      <c r="H47" s="20"/>
      <c r="I47" s="20"/>
      <c r="J47" s="20"/>
      <c r="K47" s="20"/>
      <c r="L47" s="20"/>
      <c r="N47" s="20"/>
      <c r="Q47" s="20"/>
      <c r="R47" s="20"/>
      <c r="S47" s="20"/>
      <c r="T47" s="20"/>
      <c r="U47" s="20"/>
      <c r="X47" s="20"/>
      <c r="AB47" s="20"/>
      <c r="AC47" s="20"/>
      <c r="AD47" s="16"/>
      <c r="AF47" s="17"/>
      <c r="AG47" s="25"/>
      <c r="AH47" s="25"/>
      <c r="AI47" s="26"/>
      <c r="AJ47" s="16"/>
      <c r="AK47" s="16"/>
      <c r="AL47" s="16"/>
      <c r="AM47" s="20"/>
      <c r="AN47" s="16"/>
      <c r="AO47" s="16"/>
      <c r="AQ47" s="16"/>
      <c r="AS47" s="16"/>
      <c r="AU47" s="16"/>
      <c r="AW47" s="25"/>
      <c r="AX47" s="25"/>
      <c r="AY47" s="25"/>
      <c r="AZ47" s="25"/>
      <c r="BA47" s="25"/>
      <c r="BB47" s="16"/>
      <c r="BE47" s="25"/>
      <c r="BG47" s="20"/>
      <c r="BH47" s="16"/>
      <c r="BR47" s="16"/>
      <c r="BS47" s="17"/>
      <c r="BT47" s="17"/>
      <c r="BW47" s="20"/>
      <c r="BX47" s="20"/>
      <c r="BY47" s="20"/>
      <c r="CG47" s="20"/>
      <c r="CO47" s="27"/>
      <c r="CP47" s="17"/>
      <c r="CQ47" s="17"/>
    </row>
    <row r="48" customFormat="false" ht="15.75" hidden="false" customHeight="false" outlineLevel="0" collapsed="false">
      <c r="A48" s="12"/>
      <c r="B48" s="12"/>
      <c r="C48" s="12"/>
      <c r="F48" s="20"/>
      <c r="G48" s="20"/>
      <c r="H48" s="20"/>
      <c r="I48" s="20"/>
      <c r="J48" s="20"/>
      <c r="K48" s="20"/>
      <c r="L48" s="20"/>
      <c r="N48" s="20"/>
      <c r="Q48" s="20"/>
      <c r="R48" s="20"/>
      <c r="S48" s="20"/>
      <c r="T48" s="20"/>
      <c r="U48" s="20"/>
      <c r="X48" s="20"/>
      <c r="AB48" s="20"/>
      <c r="AC48" s="20"/>
      <c r="AD48" s="16"/>
      <c r="AF48" s="17"/>
      <c r="AG48" s="25"/>
      <c r="AH48" s="25"/>
      <c r="AI48" s="26"/>
      <c r="AJ48" s="16"/>
      <c r="AK48" s="16"/>
      <c r="AL48" s="16"/>
      <c r="AM48" s="20"/>
      <c r="AN48" s="16"/>
      <c r="AO48" s="16"/>
      <c r="AQ48" s="16"/>
      <c r="AS48" s="16"/>
      <c r="AU48" s="16"/>
      <c r="AW48" s="25"/>
      <c r="AX48" s="25"/>
      <c r="AY48" s="25"/>
      <c r="AZ48" s="25"/>
      <c r="BA48" s="25"/>
      <c r="BB48" s="16"/>
      <c r="BE48" s="25"/>
      <c r="BG48" s="20"/>
      <c r="BH48" s="16"/>
      <c r="BR48" s="16"/>
      <c r="BS48" s="17"/>
      <c r="BT48" s="17"/>
      <c r="BW48" s="20"/>
      <c r="BX48" s="20"/>
      <c r="BY48" s="20"/>
      <c r="CG48" s="20"/>
      <c r="CO48" s="27"/>
      <c r="CP48" s="17"/>
      <c r="CQ48" s="17"/>
    </row>
    <row r="49" customFormat="false" ht="15.75" hidden="false" customHeight="false" outlineLevel="0" collapsed="false">
      <c r="A49" s="12"/>
      <c r="B49" s="12"/>
      <c r="C49" s="12"/>
      <c r="F49" s="20"/>
      <c r="G49" s="20"/>
      <c r="H49" s="20"/>
      <c r="I49" s="20"/>
      <c r="J49" s="20"/>
      <c r="K49" s="20"/>
      <c r="L49" s="20"/>
      <c r="N49" s="20"/>
      <c r="Q49" s="20"/>
      <c r="R49" s="20"/>
      <c r="S49" s="20"/>
      <c r="T49" s="20"/>
      <c r="U49" s="20"/>
      <c r="X49" s="20"/>
      <c r="AB49" s="20"/>
      <c r="AC49" s="20"/>
      <c r="AD49" s="16"/>
      <c r="AF49" s="17"/>
      <c r="AG49" s="25"/>
      <c r="AH49" s="25"/>
      <c r="AI49" s="26"/>
      <c r="AJ49" s="16"/>
      <c r="AK49" s="16"/>
      <c r="AL49" s="16"/>
      <c r="AM49" s="20"/>
      <c r="AN49" s="16"/>
      <c r="AO49" s="16"/>
      <c r="AQ49" s="16"/>
      <c r="AS49" s="16"/>
      <c r="AU49" s="16"/>
      <c r="AW49" s="25"/>
      <c r="AX49" s="25"/>
      <c r="AY49" s="25"/>
      <c r="AZ49" s="25"/>
      <c r="BA49" s="25"/>
      <c r="BB49" s="16"/>
      <c r="BE49" s="25"/>
      <c r="BG49" s="20"/>
      <c r="BH49" s="16"/>
      <c r="BR49" s="16"/>
      <c r="BS49" s="17"/>
      <c r="BT49" s="17"/>
      <c r="BW49" s="20"/>
      <c r="BX49" s="20"/>
      <c r="BY49" s="20"/>
      <c r="CG49" s="20"/>
      <c r="CO49" s="27"/>
      <c r="CP49" s="17"/>
      <c r="CQ49" s="17"/>
    </row>
    <row r="50" customFormat="false" ht="15.75" hidden="false" customHeight="false" outlineLevel="0" collapsed="false">
      <c r="A50" s="12"/>
      <c r="B50" s="12"/>
      <c r="C50" s="12"/>
      <c r="F50" s="20"/>
      <c r="G50" s="20"/>
      <c r="H50" s="20"/>
      <c r="I50" s="20"/>
      <c r="J50" s="20"/>
      <c r="K50" s="20"/>
      <c r="L50" s="20"/>
      <c r="N50" s="20"/>
      <c r="Q50" s="20"/>
      <c r="R50" s="20"/>
      <c r="S50" s="20"/>
      <c r="T50" s="20"/>
      <c r="U50" s="20"/>
      <c r="X50" s="20"/>
      <c r="AB50" s="20"/>
      <c r="AC50" s="20"/>
      <c r="AD50" s="16"/>
      <c r="AF50" s="17"/>
      <c r="AG50" s="25"/>
      <c r="AH50" s="25"/>
      <c r="AI50" s="26"/>
      <c r="AJ50" s="16"/>
      <c r="AK50" s="16"/>
      <c r="AL50" s="16"/>
      <c r="AM50" s="20"/>
      <c r="AN50" s="16"/>
      <c r="AO50" s="16"/>
      <c r="AQ50" s="16"/>
      <c r="AS50" s="16"/>
      <c r="AU50" s="16"/>
      <c r="AW50" s="25"/>
      <c r="AX50" s="25"/>
      <c r="AY50" s="25"/>
      <c r="AZ50" s="25"/>
      <c r="BA50" s="25"/>
      <c r="BB50" s="16"/>
      <c r="BE50" s="25"/>
      <c r="BG50" s="20"/>
      <c r="BH50" s="16"/>
      <c r="BR50" s="16"/>
      <c r="BS50" s="17"/>
      <c r="BT50" s="17"/>
      <c r="BW50" s="20"/>
      <c r="BX50" s="20"/>
      <c r="BY50" s="20"/>
      <c r="CG50" s="20"/>
      <c r="CO50" s="27"/>
      <c r="CP50" s="17"/>
      <c r="CQ50" s="17"/>
    </row>
    <row r="51" customFormat="false" ht="15.75" hidden="false" customHeight="false" outlineLevel="0" collapsed="false">
      <c r="A51" s="12"/>
      <c r="B51" s="12"/>
      <c r="C51" s="12"/>
      <c r="F51" s="20"/>
      <c r="G51" s="20"/>
      <c r="H51" s="20"/>
      <c r="I51" s="20"/>
      <c r="J51" s="20"/>
      <c r="K51" s="20"/>
      <c r="L51" s="20"/>
      <c r="N51" s="20"/>
      <c r="Q51" s="20"/>
      <c r="R51" s="20"/>
      <c r="S51" s="20"/>
      <c r="T51" s="20"/>
      <c r="U51" s="20"/>
      <c r="X51" s="20"/>
      <c r="AB51" s="20"/>
      <c r="AC51" s="20"/>
      <c r="AD51" s="16"/>
      <c r="AF51" s="17"/>
      <c r="AG51" s="25"/>
      <c r="AH51" s="25"/>
      <c r="AI51" s="26"/>
      <c r="AJ51" s="16"/>
      <c r="AK51" s="16"/>
      <c r="AL51" s="16"/>
      <c r="AM51" s="20"/>
      <c r="AN51" s="16"/>
      <c r="AO51" s="16"/>
      <c r="AQ51" s="16"/>
      <c r="AS51" s="16"/>
      <c r="AU51" s="16"/>
      <c r="AW51" s="25"/>
      <c r="AX51" s="25"/>
      <c r="AY51" s="25"/>
      <c r="AZ51" s="25"/>
      <c r="BA51" s="25"/>
      <c r="BB51" s="16"/>
      <c r="BE51" s="25"/>
      <c r="BG51" s="20"/>
      <c r="BH51" s="16"/>
      <c r="BR51" s="16"/>
      <c r="BS51" s="17"/>
      <c r="BT51" s="17"/>
      <c r="BW51" s="20"/>
      <c r="BX51" s="20"/>
      <c r="BY51" s="20"/>
      <c r="CG51" s="20"/>
      <c r="CO51" s="27"/>
      <c r="CP51" s="17"/>
      <c r="CQ51" s="17"/>
    </row>
    <row r="52" customFormat="false" ht="15.75" hidden="false" customHeight="false" outlineLevel="0" collapsed="false">
      <c r="A52" s="12"/>
      <c r="B52" s="12"/>
      <c r="C52" s="12"/>
      <c r="F52" s="20"/>
      <c r="G52" s="20"/>
      <c r="H52" s="20"/>
      <c r="I52" s="20"/>
      <c r="J52" s="20"/>
      <c r="K52" s="20"/>
      <c r="L52" s="20"/>
      <c r="N52" s="20"/>
      <c r="Q52" s="20"/>
      <c r="R52" s="20"/>
      <c r="S52" s="20"/>
      <c r="T52" s="20"/>
      <c r="U52" s="20"/>
      <c r="X52" s="20"/>
      <c r="AB52" s="20"/>
      <c r="AC52" s="20"/>
      <c r="AD52" s="16"/>
      <c r="AF52" s="17"/>
      <c r="AG52" s="25"/>
      <c r="AH52" s="25"/>
      <c r="AI52" s="26"/>
      <c r="AJ52" s="16"/>
      <c r="AK52" s="16"/>
      <c r="AL52" s="16"/>
      <c r="AM52" s="20"/>
      <c r="AN52" s="16"/>
      <c r="AO52" s="16"/>
      <c r="AQ52" s="16"/>
      <c r="AS52" s="16"/>
      <c r="AU52" s="16"/>
      <c r="AW52" s="25"/>
      <c r="AX52" s="25"/>
      <c r="AY52" s="25"/>
      <c r="AZ52" s="25"/>
      <c r="BA52" s="25"/>
      <c r="BB52" s="16"/>
      <c r="BE52" s="25"/>
      <c r="BG52" s="20"/>
      <c r="BH52" s="16"/>
      <c r="BR52" s="16"/>
      <c r="BS52" s="17"/>
      <c r="BT52" s="17"/>
      <c r="BW52" s="20"/>
      <c r="BX52" s="20"/>
      <c r="BY52" s="20"/>
      <c r="CG52" s="20"/>
      <c r="CO52" s="27"/>
      <c r="CP52" s="17"/>
      <c r="CQ52" s="17"/>
    </row>
    <row r="53" customFormat="false" ht="15.75" hidden="false" customHeight="false" outlineLevel="0" collapsed="false">
      <c r="A53" s="12"/>
      <c r="B53" s="12"/>
      <c r="C53" s="12"/>
      <c r="F53" s="20"/>
      <c r="G53" s="20"/>
      <c r="H53" s="20"/>
      <c r="I53" s="20"/>
      <c r="J53" s="20"/>
      <c r="K53" s="20"/>
      <c r="L53" s="20"/>
      <c r="N53" s="20"/>
      <c r="Q53" s="20"/>
      <c r="R53" s="20"/>
      <c r="S53" s="20"/>
      <c r="T53" s="20"/>
      <c r="U53" s="20"/>
      <c r="X53" s="20"/>
      <c r="AB53" s="20"/>
      <c r="AC53" s="20"/>
      <c r="AD53" s="16"/>
      <c r="AF53" s="17"/>
      <c r="AG53" s="25"/>
      <c r="AH53" s="25"/>
      <c r="AI53" s="26"/>
      <c r="AJ53" s="16"/>
      <c r="AK53" s="16"/>
      <c r="AL53" s="16"/>
      <c r="AM53" s="20"/>
      <c r="AN53" s="16"/>
      <c r="AO53" s="16"/>
      <c r="AQ53" s="16"/>
      <c r="AS53" s="16"/>
      <c r="AU53" s="16"/>
      <c r="AW53" s="25"/>
      <c r="AX53" s="25"/>
      <c r="AY53" s="25"/>
      <c r="AZ53" s="25"/>
      <c r="BA53" s="25"/>
      <c r="BB53" s="16"/>
      <c r="BE53" s="25"/>
      <c r="BG53" s="20"/>
      <c r="BH53" s="16"/>
      <c r="BR53" s="16"/>
      <c r="BS53" s="17"/>
      <c r="BT53" s="17"/>
      <c r="BW53" s="20"/>
      <c r="BX53" s="20"/>
      <c r="BY53" s="20"/>
      <c r="CG53" s="20"/>
      <c r="CO53" s="27"/>
      <c r="CP53" s="17"/>
      <c r="CQ53" s="17"/>
    </row>
    <row r="54" customFormat="false" ht="15.75" hidden="false" customHeight="false" outlineLevel="0" collapsed="false">
      <c r="A54" s="12"/>
      <c r="B54" s="12"/>
      <c r="C54" s="12"/>
      <c r="F54" s="20"/>
      <c r="G54" s="20"/>
      <c r="H54" s="20"/>
      <c r="I54" s="20"/>
      <c r="J54" s="20"/>
      <c r="K54" s="20"/>
      <c r="L54" s="20"/>
      <c r="N54" s="20"/>
      <c r="Q54" s="20"/>
      <c r="R54" s="20"/>
      <c r="S54" s="20"/>
      <c r="T54" s="20"/>
      <c r="U54" s="20"/>
      <c r="X54" s="20"/>
      <c r="AB54" s="20"/>
      <c r="AC54" s="20"/>
      <c r="AD54" s="16"/>
      <c r="AF54" s="17"/>
      <c r="AG54" s="25"/>
      <c r="AH54" s="25"/>
      <c r="AI54" s="26"/>
      <c r="AJ54" s="16"/>
      <c r="AK54" s="16"/>
      <c r="AL54" s="16"/>
      <c r="AM54" s="20"/>
      <c r="AN54" s="16"/>
      <c r="AO54" s="16"/>
      <c r="AQ54" s="16"/>
      <c r="AS54" s="16"/>
      <c r="AU54" s="16"/>
      <c r="AW54" s="25"/>
      <c r="AX54" s="25"/>
      <c r="AY54" s="25"/>
      <c r="AZ54" s="25"/>
      <c r="BA54" s="25"/>
      <c r="BB54" s="16"/>
      <c r="BE54" s="25"/>
      <c r="BG54" s="20"/>
      <c r="BH54" s="16"/>
      <c r="BR54" s="16"/>
      <c r="BS54" s="17"/>
      <c r="BT54" s="17"/>
      <c r="BW54" s="20"/>
      <c r="BX54" s="20"/>
      <c r="BY54" s="20"/>
      <c r="CG54" s="20"/>
      <c r="CO54" s="27"/>
      <c r="CP54" s="17"/>
      <c r="CQ54" s="17"/>
    </row>
    <row r="55" customFormat="false" ht="15.75" hidden="false" customHeight="false" outlineLevel="0" collapsed="false">
      <c r="A55" s="12"/>
      <c r="B55" s="12"/>
      <c r="C55" s="12"/>
      <c r="F55" s="20"/>
      <c r="G55" s="20"/>
      <c r="H55" s="20"/>
      <c r="I55" s="20"/>
      <c r="J55" s="20"/>
      <c r="K55" s="20"/>
      <c r="L55" s="20"/>
      <c r="N55" s="20"/>
      <c r="Q55" s="20"/>
      <c r="R55" s="20"/>
      <c r="S55" s="20"/>
      <c r="T55" s="20"/>
      <c r="U55" s="20"/>
      <c r="X55" s="20"/>
      <c r="AB55" s="20"/>
      <c r="AC55" s="20"/>
      <c r="AD55" s="16"/>
      <c r="AF55" s="17"/>
      <c r="AG55" s="25"/>
      <c r="AH55" s="25"/>
      <c r="AI55" s="26"/>
      <c r="AJ55" s="16"/>
      <c r="AK55" s="16"/>
      <c r="AL55" s="16"/>
      <c r="AM55" s="20"/>
      <c r="AN55" s="16"/>
      <c r="AO55" s="16"/>
      <c r="AQ55" s="16"/>
      <c r="AS55" s="16"/>
      <c r="AU55" s="16"/>
      <c r="AW55" s="25"/>
      <c r="AX55" s="25"/>
      <c r="AY55" s="25"/>
      <c r="AZ55" s="25"/>
      <c r="BA55" s="25"/>
      <c r="BB55" s="16"/>
      <c r="BE55" s="25"/>
      <c r="BG55" s="20"/>
      <c r="BH55" s="16"/>
      <c r="BR55" s="16"/>
      <c r="BS55" s="17"/>
      <c r="BT55" s="17"/>
      <c r="BW55" s="20"/>
      <c r="BX55" s="20"/>
      <c r="BY55" s="20"/>
      <c r="CG55" s="20"/>
      <c r="CO55" s="27"/>
      <c r="CP55" s="17"/>
      <c r="CQ55" s="17"/>
    </row>
    <row r="56" customFormat="false" ht="15.75" hidden="false" customHeight="false" outlineLevel="0" collapsed="false">
      <c r="A56" s="12"/>
      <c r="B56" s="12"/>
      <c r="C56" s="12"/>
      <c r="F56" s="20"/>
      <c r="G56" s="20"/>
      <c r="H56" s="20"/>
      <c r="I56" s="20"/>
      <c r="J56" s="20"/>
      <c r="K56" s="20"/>
      <c r="L56" s="20"/>
      <c r="N56" s="20"/>
      <c r="Q56" s="20"/>
      <c r="R56" s="20"/>
      <c r="S56" s="20"/>
      <c r="T56" s="20"/>
      <c r="U56" s="20"/>
      <c r="X56" s="20"/>
      <c r="AB56" s="20"/>
      <c r="AC56" s="20"/>
      <c r="AD56" s="16"/>
      <c r="AF56" s="17"/>
      <c r="AG56" s="25"/>
      <c r="AH56" s="25"/>
      <c r="AI56" s="26"/>
      <c r="AJ56" s="16"/>
      <c r="AK56" s="16"/>
      <c r="AL56" s="16"/>
      <c r="AM56" s="20"/>
      <c r="AN56" s="16"/>
      <c r="AO56" s="16"/>
      <c r="AQ56" s="16"/>
      <c r="AS56" s="16"/>
      <c r="AU56" s="16"/>
      <c r="AW56" s="25"/>
      <c r="AX56" s="25"/>
      <c r="AY56" s="25"/>
      <c r="AZ56" s="25"/>
      <c r="BA56" s="25"/>
      <c r="BB56" s="16"/>
      <c r="BE56" s="25"/>
      <c r="BG56" s="20"/>
      <c r="BH56" s="16"/>
      <c r="BR56" s="16"/>
      <c r="BS56" s="17"/>
      <c r="BT56" s="17"/>
      <c r="BW56" s="20"/>
      <c r="BX56" s="20"/>
      <c r="BY56" s="20"/>
      <c r="CG56" s="20"/>
      <c r="CO56" s="27"/>
      <c r="CP56" s="17"/>
      <c r="CQ56" s="17"/>
    </row>
    <row r="57" customFormat="false" ht="15.75" hidden="false" customHeight="false" outlineLevel="0" collapsed="false">
      <c r="A57" s="12"/>
      <c r="B57" s="12"/>
      <c r="C57" s="12"/>
      <c r="F57" s="20"/>
      <c r="G57" s="20"/>
      <c r="H57" s="20"/>
      <c r="I57" s="20"/>
      <c r="J57" s="20"/>
      <c r="K57" s="20"/>
      <c r="L57" s="20"/>
      <c r="N57" s="20"/>
      <c r="Q57" s="20"/>
      <c r="R57" s="20"/>
      <c r="S57" s="20"/>
      <c r="T57" s="20"/>
      <c r="U57" s="20"/>
      <c r="X57" s="20"/>
      <c r="AB57" s="20"/>
      <c r="AC57" s="20"/>
      <c r="AD57" s="16"/>
      <c r="AF57" s="17"/>
      <c r="AG57" s="25"/>
      <c r="AH57" s="25"/>
      <c r="AI57" s="26"/>
      <c r="AJ57" s="16"/>
      <c r="AK57" s="16"/>
      <c r="AL57" s="16"/>
      <c r="AM57" s="20"/>
      <c r="AN57" s="16"/>
      <c r="AO57" s="16"/>
      <c r="AQ57" s="16"/>
      <c r="AS57" s="16"/>
      <c r="AU57" s="16"/>
      <c r="AW57" s="25"/>
      <c r="AX57" s="25"/>
      <c r="AY57" s="25"/>
      <c r="AZ57" s="25"/>
      <c r="BA57" s="25"/>
      <c r="BB57" s="16"/>
      <c r="BE57" s="25"/>
      <c r="BG57" s="20"/>
      <c r="BH57" s="16"/>
      <c r="BR57" s="16"/>
      <c r="BS57" s="17"/>
      <c r="BT57" s="17"/>
      <c r="BW57" s="20"/>
      <c r="BX57" s="20"/>
      <c r="BY57" s="20"/>
      <c r="CG57" s="20"/>
      <c r="CO57" s="27"/>
      <c r="CP57" s="17"/>
      <c r="CQ57" s="17"/>
    </row>
    <row r="58" customFormat="false" ht="15.75" hidden="false" customHeight="false" outlineLevel="0" collapsed="false">
      <c r="A58" s="12"/>
      <c r="B58" s="12"/>
      <c r="C58" s="12"/>
      <c r="F58" s="20"/>
      <c r="G58" s="20"/>
      <c r="H58" s="20"/>
      <c r="I58" s="20"/>
      <c r="J58" s="20"/>
      <c r="K58" s="20"/>
      <c r="L58" s="20"/>
      <c r="N58" s="20"/>
      <c r="Q58" s="20"/>
      <c r="R58" s="20"/>
      <c r="S58" s="20"/>
      <c r="T58" s="20"/>
      <c r="U58" s="20"/>
      <c r="X58" s="20"/>
      <c r="AB58" s="20"/>
      <c r="AC58" s="20"/>
      <c r="AD58" s="16"/>
      <c r="AF58" s="17"/>
      <c r="AG58" s="25"/>
      <c r="AH58" s="25"/>
      <c r="AI58" s="26"/>
      <c r="AJ58" s="16"/>
      <c r="AK58" s="16"/>
      <c r="AL58" s="16"/>
      <c r="AM58" s="20"/>
      <c r="AN58" s="16"/>
      <c r="AO58" s="16"/>
      <c r="AQ58" s="16"/>
      <c r="AS58" s="16"/>
      <c r="AU58" s="16"/>
      <c r="AW58" s="25"/>
      <c r="AX58" s="25"/>
      <c r="AY58" s="25"/>
      <c r="AZ58" s="25"/>
      <c r="BA58" s="25"/>
      <c r="BB58" s="16"/>
      <c r="BE58" s="25"/>
      <c r="BG58" s="20"/>
      <c r="BH58" s="16"/>
      <c r="BR58" s="16"/>
      <c r="BS58" s="17"/>
      <c r="BT58" s="17"/>
      <c r="BW58" s="20"/>
      <c r="BX58" s="20"/>
      <c r="BY58" s="20"/>
      <c r="CG58" s="20"/>
      <c r="CO58" s="27"/>
      <c r="CP58" s="17"/>
      <c r="CQ58" s="17"/>
    </row>
    <row r="59" customFormat="false" ht="15.75" hidden="false" customHeight="false" outlineLevel="0" collapsed="false">
      <c r="A59" s="12"/>
      <c r="B59" s="12"/>
      <c r="C59" s="12"/>
      <c r="F59" s="20"/>
      <c r="G59" s="20"/>
      <c r="H59" s="20"/>
      <c r="I59" s="20"/>
      <c r="J59" s="20"/>
      <c r="K59" s="20"/>
      <c r="L59" s="20"/>
      <c r="N59" s="20"/>
      <c r="Q59" s="20"/>
      <c r="R59" s="20"/>
      <c r="S59" s="20"/>
      <c r="T59" s="20"/>
      <c r="U59" s="20"/>
      <c r="X59" s="20"/>
      <c r="AB59" s="20"/>
      <c r="AC59" s="20"/>
      <c r="AD59" s="16"/>
      <c r="AF59" s="17"/>
      <c r="AG59" s="25"/>
      <c r="AH59" s="25"/>
      <c r="AI59" s="26"/>
      <c r="AJ59" s="16"/>
      <c r="AK59" s="16"/>
      <c r="AL59" s="16"/>
      <c r="AM59" s="20"/>
      <c r="AN59" s="16"/>
      <c r="AO59" s="16"/>
      <c r="AQ59" s="16"/>
      <c r="AS59" s="16"/>
      <c r="AU59" s="16"/>
      <c r="AW59" s="25"/>
      <c r="AX59" s="25"/>
      <c r="AY59" s="25"/>
      <c r="AZ59" s="25"/>
      <c r="BA59" s="25"/>
      <c r="BB59" s="16"/>
      <c r="BE59" s="25"/>
      <c r="BG59" s="20"/>
      <c r="BH59" s="16"/>
      <c r="BR59" s="16"/>
      <c r="BS59" s="17"/>
      <c r="BT59" s="17"/>
      <c r="BW59" s="20"/>
      <c r="BX59" s="20"/>
      <c r="BY59" s="20"/>
      <c r="CG59" s="20"/>
      <c r="CO59" s="27"/>
      <c r="CP59" s="17"/>
      <c r="CQ59" s="17"/>
    </row>
    <row r="60" customFormat="false" ht="15.75" hidden="false" customHeight="false" outlineLevel="0" collapsed="false">
      <c r="A60" s="12"/>
      <c r="B60" s="12"/>
      <c r="C60" s="12"/>
      <c r="F60" s="20"/>
      <c r="G60" s="20"/>
      <c r="H60" s="20"/>
      <c r="I60" s="20"/>
      <c r="J60" s="20"/>
      <c r="K60" s="20"/>
      <c r="L60" s="20"/>
      <c r="N60" s="20"/>
      <c r="Q60" s="20"/>
      <c r="R60" s="20"/>
      <c r="S60" s="20"/>
      <c r="T60" s="20"/>
      <c r="U60" s="20"/>
      <c r="X60" s="20"/>
      <c r="AB60" s="20"/>
      <c r="AC60" s="20"/>
      <c r="AD60" s="16"/>
      <c r="AF60" s="17"/>
      <c r="AG60" s="25"/>
      <c r="AH60" s="25"/>
      <c r="AI60" s="26"/>
      <c r="AJ60" s="16"/>
      <c r="AK60" s="16"/>
      <c r="AL60" s="16"/>
      <c r="AM60" s="20"/>
      <c r="AN60" s="16"/>
      <c r="AO60" s="16"/>
      <c r="AQ60" s="16"/>
      <c r="AS60" s="16"/>
      <c r="AU60" s="16"/>
      <c r="AW60" s="25"/>
      <c r="AX60" s="25"/>
      <c r="AY60" s="25"/>
      <c r="AZ60" s="25"/>
      <c r="BA60" s="25"/>
      <c r="BB60" s="16"/>
      <c r="BE60" s="25"/>
      <c r="BG60" s="20"/>
      <c r="BH60" s="16"/>
      <c r="BR60" s="16"/>
      <c r="BS60" s="17"/>
      <c r="BT60" s="17"/>
      <c r="BW60" s="20"/>
      <c r="BX60" s="20"/>
      <c r="BY60" s="20"/>
      <c r="CG60" s="20"/>
      <c r="CO60" s="27"/>
      <c r="CP60" s="17"/>
      <c r="CQ60" s="17"/>
    </row>
    <row r="61" customFormat="false" ht="15.75" hidden="false" customHeight="false" outlineLevel="0" collapsed="false">
      <c r="A61" s="12"/>
      <c r="B61" s="12"/>
      <c r="C61" s="12"/>
      <c r="F61" s="20"/>
      <c r="G61" s="20"/>
      <c r="H61" s="20"/>
      <c r="I61" s="20"/>
      <c r="J61" s="20"/>
      <c r="K61" s="20"/>
      <c r="L61" s="20"/>
      <c r="N61" s="20"/>
      <c r="Q61" s="20"/>
      <c r="R61" s="20"/>
      <c r="S61" s="20"/>
      <c r="T61" s="20"/>
      <c r="U61" s="20"/>
      <c r="X61" s="20"/>
      <c r="AB61" s="20"/>
      <c r="AC61" s="20"/>
      <c r="AD61" s="16"/>
      <c r="AF61" s="17"/>
      <c r="AG61" s="25"/>
      <c r="AH61" s="25"/>
      <c r="AI61" s="26"/>
      <c r="AJ61" s="16"/>
      <c r="AK61" s="16"/>
      <c r="AL61" s="16"/>
      <c r="AM61" s="20"/>
      <c r="AN61" s="16"/>
      <c r="AO61" s="16"/>
      <c r="AQ61" s="16"/>
      <c r="AS61" s="16"/>
      <c r="AU61" s="16"/>
      <c r="AW61" s="25"/>
      <c r="AX61" s="25"/>
      <c r="AY61" s="25"/>
      <c r="AZ61" s="25"/>
      <c r="BA61" s="25"/>
      <c r="BB61" s="16"/>
      <c r="BE61" s="25"/>
      <c r="BG61" s="20"/>
      <c r="BH61" s="16"/>
      <c r="BR61" s="16"/>
      <c r="BS61" s="17"/>
      <c r="BT61" s="17"/>
      <c r="BW61" s="20"/>
      <c r="BX61" s="20"/>
      <c r="BY61" s="20"/>
      <c r="CG61" s="20"/>
      <c r="CO61" s="27"/>
      <c r="CP61" s="17"/>
      <c r="CQ61" s="17"/>
    </row>
    <row r="62" customFormat="false" ht="15.75" hidden="false" customHeight="false" outlineLevel="0" collapsed="false">
      <c r="A62" s="12"/>
      <c r="B62" s="12"/>
      <c r="C62" s="12"/>
      <c r="F62" s="20"/>
      <c r="G62" s="20"/>
      <c r="H62" s="20"/>
      <c r="I62" s="20"/>
      <c r="J62" s="20"/>
      <c r="K62" s="20"/>
      <c r="L62" s="20"/>
      <c r="N62" s="20"/>
      <c r="Q62" s="20"/>
      <c r="R62" s="20"/>
      <c r="S62" s="20"/>
      <c r="T62" s="20"/>
      <c r="U62" s="20"/>
      <c r="X62" s="20"/>
      <c r="AB62" s="20"/>
      <c r="AC62" s="20"/>
      <c r="AD62" s="16"/>
      <c r="AF62" s="17"/>
      <c r="AG62" s="25"/>
      <c r="AH62" s="25"/>
      <c r="AI62" s="26"/>
      <c r="AJ62" s="16"/>
      <c r="AK62" s="16"/>
      <c r="AL62" s="16"/>
      <c r="AM62" s="20"/>
      <c r="AN62" s="16"/>
      <c r="AO62" s="16"/>
      <c r="AQ62" s="16"/>
      <c r="AS62" s="16"/>
      <c r="AU62" s="16"/>
      <c r="AW62" s="25"/>
      <c r="AX62" s="25"/>
      <c r="AY62" s="25"/>
      <c r="AZ62" s="25"/>
      <c r="BA62" s="25"/>
      <c r="BB62" s="16"/>
      <c r="BE62" s="25"/>
      <c r="BG62" s="20"/>
      <c r="BH62" s="16"/>
      <c r="BR62" s="16"/>
      <c r="BS62" s="17"/>
      <c r="BT62" s="17"/>
      <c r="BW62" s="20"/>
      <c r="BX62" s="20"/>
      <c r="BY62" s="20"/>
      <c r="CG62" s="20"/>
      <c r="CO62" s="27"/>
      <c r="CP62" s="17"/>
      <c r="CQ62" s="17"/>
    </row>
    <row r="63" customFormat="false" ht="15.75" hidden="false" customHeight="false" outlineLevel="0" collapsed="false">
      <c r="A63" s="12"/>
      <c r="B63" s="12"/>
      <c r="C63" s="12"/>
      <c r="F63" s="20"/>
      <c r="G63" s="20"/>
      <c r="H63" s="20"/>
      <c r="I63" s="20"/>
      <c r="J63" s="20"/>
      <c r="K63" s="20"/>
      <c r="L63" s="20"/>
      <c r="N63" s="20"/>
      <c r="Q63" s="20"/>
      <c r="R63" s="20"/>
      <c r="S63" s="20"/>
      <c r="T63" s="20"/>
      <c r="U63" s="20"/>
      <c r="X63" s="20"/>
      <c r="AB63" s="20"/>
      <c r="AC63" s="20"/>
      <c r="AD63" s="16"/>
      <c r="AF63" s="17"/>
      <c r="AG63" s="25"/>
      <c r="AH63" s="25"/>
      <c r="AI63" s="26"/>
      <c r="AJ63" s="16"/>
      <c r="AK63" s="16"/>
      <c r="AL63" s="16"/>
      <c r="AM63" s="20"/>
      <c r="AN63" s="16"/>
      <c r="AO63" s="16"/>
      <c r="AQ63" s="16"/>
      <c r="AS63" s="16"/>
      <c r="AU63" s="16"/>
      <c r="AW63" s="25"/>
      <c r="AX63" s="25"/>
      <c r="AY63" s="25"/>
      <c r="AZ63" s="25"/>
      <c r="BA63" s="25"/>
      <c r="BB63" s="16"/>
      <c r="BE63" s="25"/>
      <c r="BG63" s="20"/>
      <c r="BH63" s="16"/>
      <c r="BR63" s="16"/>
      <c r="BS63" s="17"/>
      <c r="BT63" s="17"/>
      <c r="BW63" s="20"/>
      <c r="BX63" s="20"/>
      <c r="BY63" s="20"/>
      <c r="CG63" s="20"/>
      <c r="CO63" s="27"/>
      <c r="CP63" s="17"/>
      <c r="CQ63" s="17"/>
    </row>
    <row r="64" customFormat="false" ht="15.75" hidden="false" customHeight="false" outlineLevel="0" collapsed="false">
      <c r="A64" s="12"/>
      <c r="B64" s="12"/>
      <c r="C64" s="12"/>
      <c r="F64" s="20"/>
      <c r="G64" s="20"/>
      <c r="H64" s="20"/>
      <c r="I64" s="20"/>
      <c r="J64" s="20"/>
      <c r="K64" s="20"/>
      <c r="L64" s="20"/>
      <c r="N64" s="20"/>
      <c r="Q64" s="20"/>
      <c r="R64" s="20"/>
      <c r="S64" s="20"/>
      <c r="T64" s="20"/>
      <c r="U64" s="20"/>
      <c r="X64" s="20"/>
      <c r="AB64" s="20"/>
      <c r="AC64" s="20"/>
      <c r="AD64" s="16"/>
      <c r="AF64" s="17"/>
      <c r="AG64" s="25"/>
      <c r="AH64" s="25"/>
      <c r="AI64" s="26"/>
      <c r="AJ64" s="16"/>
      <c r="AK64" s="16"/>
      <c r="AL64" s="16"/>
      <c r="AM64" s="20"/>
      <c r="AN64" s="16"/>
      <c r="AO64" s="16"/>
      <c r="AQ64" s="16"/>
      <c r="AS64" s="16"/>
      <c r="AU64" s="16"/>
      <c r="AW64" s="25"/>
      <c r="AX64" s="25"/>
      <c r="AY64" s="25"/>
      <c r="AZ64" s="25"/>
      <c r="BA64" s="25"/>
      <c r="BB64" s="16"/>
      <c r="BE64" s="25"/>
      <c r="BG64" s="20"/>
      <c r="BH64" s="16"/>
      <c r="BR64" s="16"/>
      <c r="BS64" s="17"/>
      <c r="BT64" s="17"/>
      <c r="BW64" s="20"/>
      <c r="BX64" s="20"/>
      <c r="BY64" s="20"/>
      <c r="CG64" s="20"/>
      <c r="CO64" s="27"/>
      <c r="CP64" s="17"/>
      <c r="CQ64" s="17"/>
    </row>
    <row r="65" customFormat="false" ht="15.75" hidden="false" customHeight="false" outlineLevel="0" collapsed="false">
      <c r="A65" s="12"/>
      <c r="B65" s="12"/>
      <c r="C65" s="12"/>
      <c r="F65" s="20"/>
      <c r="G65" s="20"/>
      <c r="H65" s="20"/>
      <c r="I65" s="20"/>
      <c r="J65" s="20"/>
      <c r="K65" s="20"/>
      <c r="L65" s="20"/>
      <c r="N65" s="20"/>
      <c r="Q65" s="20"/>
      <c r="R65" s="20"/>
      <c r="S65" s="20"/>
      <c r="T65" s="20"/>
      <c r="U65" s="20"/>
      <c r="X65" s="20"/>
      <c r="AB65" s="20"/>
      <c r="AC65" s="20"/>
      <c r="AD65" s="16"/>
      <c r="AF65" s="17"/>
      <c r="AG65" s="25"/>
      <c r="AH65" s="25"/>
      <c r="AI65" s="26"/>
      <c r="AJ65" s="16"/>
      <c r="AK65" s="16"/>
      <c r="AL65" s="16"/>
      <c r="AM65" s="20"/>
      <c r="AN65" s="16"/>
      <c r="AO65" s="16"/>
      <c r="AQ65" s="16"/>
      <c r="AS65" s="16"/>
      <c r="AU65" s="16"/>
      <c r="AW65" s="25"/>
      <c r="AX65" s="25"/>
      <c r="AY65" s="25"/>
      <c r="AZ65" s="25"/>
      <c r="BA65" s="25"/>
      <c r="BB65" s="16"/>
      <c r="BE65" s="25"/>
      <c r="BG65" s="20"/>
      <c r="BH65" s="16"/>
      <c r="BR65" s="16"/>
      <c r="BS65" s="17"/>
      <c r="BT65" s="17"/>
      <c r="BW65" s="20"/>
      <c r="BX65" s="20"/>
      <c r="BY65" s="20"/>
      <c r="CG65" s="20"/>
      <c r="CO65" s="27"/>
      <c r="CP65" s="17"/>
      <c r="CQ65" s="17"/>
    </row>
    <row r="66" customFormat="false" ht="15.75" hidden="false" customHeight="false" outlineLevel="0" collapsed="false">
      <c r="A66" s="12"/>
      <c r="B66" s="12"/>
      <c r="C66" s="12"/>
      <c r="F66" s="20"/>
      <c r="G66" s="20"/>
      <c r="H66" s="20"/>
      <c r="I66" s="20"/>
      <c r="J66" s="20"/>
      <c r="K66" s="20"/>
      <c r="L66" s="20"/>
      <c r="N66" s="20"/>
      <c r="Q66" s="20"/>
      <c r="R66" s="20"/>
      <c r="S66" s="20"/>
      <c r="T66" s="20"/>
      <c r="U66" s="20"/>
      <c r="X66" s="20"/>
      <c r="AB66" s="20"/>
      <c r="AC66" s="20"/>
      <c r="AD66" s="16"/>
      <c r="AF66" s="17"/>
      <c r="AG66" s="25"/>
      <c r="AH66" s="25"/>
      <c r="AI66" s="26"/>
      <c r="AJ66" s="16"/>
      <c r="AK66" s="16"/>
      <c r="AL66" s="16"/>
      <c r="AM66" s="20"/>
      <c r="AN66" s="16"/>
      <c r="AO66" s="16"/>
      <c r="AQ66" s="16"/>
      <c r="AS66" s="16"/>
      <c r="AU66" s="16"/>
      <c r="AW66" s="25"/>
      <c r="AX66" s="25"/>
      <c r="AY66" s="25"/>
      <c r="AZ66" s="25"/>
      <c r="BA66" s="25"/>
      <c r="BB66" s="16"/>
      <c r="BE66" s="25"/>
      <c r="BG66" s="20"/>
      <c r="BH66" s="16"/>
      <c r="BR66" s="16"/>
      <c r="BS66" s="17"/>
      <c r="BT66" s="17"/>
      <c r="BW66" s="20"/>
      <c r="BX66" s="20"/>
      <c r="BY66" s="20"/>
      <c r="CG66" s="20"/>
      <c r="CO66" s="27"/>
      <c r="CP66" s="17"/>
      <c r="CQ66" s="17"/>
    </row>
    <row r="67" customFormat="false" ht="15.75" hidden="false" customHeight="false" outlineLevel="0" collapsed="false">
      <c r="A67" s="12"/>
      <c r="B67" s="12"/>
      <c r="C67" s="12"/>
      <c r="F67" s="20"/>
      <c r="G67" s="20"/>
      <c r="H67" s="20"/>
      <c r="I67" s="20"/>
      <c r="J67" s="20"/>
      <c r="K67" s="20"/>
      <c r="L67" s="20"/>
      <c r="N67" s="20"/>
      <c r="Q67" s="20"/>
      <c r="R67" s="20"/>
      <c r="S67" s="20"/>
      <c r="T67" s="20"/>
      <c r="U67" s="20"/>
      <c r="X67" s="20"/>
      <c r="AB67" s="20"/>
      <c r="AC67" s="20"/>
      <c r="AD67" s="16"/>
      <c r="AF67" s="17"/>
      <c r="AG67" s="25"/>
      <c r="AH67" s="25"/>
      <c r="AI67" s="26"/>
      <c r="AJ67" s="16"/>
      <c r="AK67" s="16"/>
      <c r="AL67" s="16"/>
      <c r="AM67" s="20"/>
      <c r="AN67" s="16"/>
      <c r="AO67" s="16"/>
      <c r="AQ67" s="16"/>
      <c r="AS67" s="16"/>
      <c r="AU67" s="16"/>
      <c r="AW67" s="25"/>
      <c r="AX67" s="25"/>
      <c r="AY67" s="25"/>
      <c r="AZ67" s="25"/>
      <c r="BA67" s="25"/>
      <c r="BB67" s="16"/>
      <c r="BE67" s="25"/>
      <c r="BG67" s="20"/>
      <c r="BH67" s="16"/>
      <c r="BR67" s="16"/>
      <c r="BS67" s="17"/>
      <c r="BT67" s="17"/>
      <c r="BW67" s="20"/>
      <c r="BX67" s="20"/>
      <c r="BY67" s="20"/>
      <c r="CG67" s="20"/>
      <c r="CO67" s="27"/>
      <c r="CP67" s="17"/>
      <c r="CQ67" s="17"/>
    </row>
    <row r="68" customFormat="false" ht="15.75" hidden="false" customHeight="false" outlineLevel="0" collapsed="false">
      <c r="A68" s="12"/>
      <c r="B68" s="12"/>
      <c r="C68" s="12"/>
      <c r="F68" s="20"/>
      <c r="G68" s="20"/>
      <c r="H68" s="20"/>
      <c r="I68" s="20"/>
      <c r="J68" s="20"/>
      <c r="K68" s="20"/>
      <c r="L68" s="20"/>
      <c r="N68" s="20"/>
      <c r="Q68" s="20"/>
      <c r="R68" s="20"/>
      <c r="S68" s="20"/>
      <c r="T68" s="20"/>
      <c r="U68" s="20"/>
      <c r="X68" s="20"/>
      <c r="AB68" s="20"/>
      <c r="AC68" s="20"/>
      <c r="AD68" s="16"/>
      <c r="AF68" s="17"/>
      <c r="AG68" s="25"/>
      <c r="AH68" s="25"/>
      <c r="AI68" s="26"/>
      <c r="AJ68" s="16"/>
      <c r="AK68" s="16"/>
      <c r="AL68" s="16"/>
      <c r="AM68" s="20"/>
      <c r="AN68" s="16"/>
      <c r="AO68" s="16"/>
      <c r="AQ68" s="16"/>
      <c r="AS68" s="16"/>
      <c r="AU68" s="16"/>
      <c r="AW68" s="25"/>
      <c r="AX68" s="25"/>
      <c r="AY68" s="25"/>
      <c r="AZ68" s="25"/>
      <c r="BA68" s="25"/>
      <c r="BB68" s="16"/>
      <c r="BE68" s="25"/>
      <c r="BG68" s="20"/>
      <c r="BH68" s="16"/>
      <c r="BR68" s="16"/>
      <c r="BS68" s="17"/>
      <c r="BT68" s="17"/>
      <c r="BW68" s="20"/>
      <c r="BX68" s="20"/>
      <c r="BY68" s="20"/>
      <c r="CG68" s="20"/>
      <c r="CO68" s="27"/>
      <c r="CP68" s="17"/>
      <c r="CQ68" s="17"/>
    </row>
    <row r="69" customFormat="false" ht="15.75" hidden="false" customHeight="false" outlineLevel="0" collapsed="false">
      <c r="A69" s="12"/>
      <c r="B69" s="12"/>
      <c r="C69" s="12"/>
      <c r="F69" s="20"/>
      <c r="G69" s="20"/>
      <c r="H69" s="20"/>
      <c r="I69" s="20"/>
      <c r="J69" s="20"/>
      <c r="K69" s="20"/>
      <c r="L69" s="20"/>
      <c r="N69" s="20"/>
      <c r="Q69" s="20"/>
      <c r="R69" s="20"/>
      <c r="S69" s="20"/>
      <c r="T69" s="20"/>
      <c r="U69" s="20"/>
      <c r="X69" s="20"/>
      <c r="AB69" s="20"/>
      <c r="AC69" s="20"/>
      <c r="AD69" s="16"/>
      <c r="AF69" s="17"/>
      <c r="AG69" s="25"/>
      <c r="AH69" s="25"/>
      <c r="AI69" s="26"/>
      <c r="AJ69" s="16"/>
      <c r="AK69" s="16"/>
      <c r="AL69" s="16"/>
      <c r="AM69" s="20"/>
      <c r="AN69" s="16"/>
      <c r="AO69" s="16"/>
      <c r="AQ69" s="16"/>
      <c r="AS69" s="16"/>
      <c r="AU69" s="16"/>
      <c r="AW69" s="25"/>
      <c r="AX69" s="25"/>
      <c r="AY69" s="25"/>
      <c r="AZ69" s="25"/>
      <c r="BA69" s="25"/>
      <c r="BB69" s="16"/>
      <c r="BE69" s="25"/>
      <c r="BG69" s="20"/>
      <c r="BH69" s="16"/>
      <c r="BR69" s="16"/>
      <c r="BS69" s="17"/>
      <c r="BT69" s="17"/>
      <c r="BW69" s="20"/>
      <c r="BX69" s="20"/>
      <c r="BY69" s="20"/>
      <c r="CG69" s="20"/>
      <c r="CO69" s="27"/>
      <c r="CP69" s="17"/>
      <c r="CQ69" s="17"/>
    </row>
    <row r="70" customFormat="false" ht="15.75" hidden="false" customHeight="false" outlineLevel="0" collapsed="false">
      <c r="A70" s="12"/>
      <c r="B70" s="12"/>
      <c r="C70" s="12"/>
      <c r="F70" s="20"/>
      <c r="G70" s="20"/>
      <c r="H70" s="20"/>
      <c r="I70" s="20"/>
      <c r="J70" s="20"/>
      <c r="K70" s="20"/>
      <c r="L70" s="20"/>
      <c r="N70" s="20"/>
      <c r="Q70" s="20"/>
      <c r="R70" s="20"/>
      <c r="S70" s="20"/>
      <c r="T70" s="20"/>
      <c r="U70" s="20"/>
      <c r="X70" s="20"/>
      <c r="AB70" s="20"/>
      <c r="AC70" s="20"/>
      <c r="AD70" s="16"/>
      <c r="AF70" s="17"/>
      <c r="AG70" s="25"/>
      <c r="AH70" s="25"/>
      <c r="AI70" s="26"/>
      <c r="AJ70" s="16"/>
      <c r="AK70" s="16"/>
      <c r="AL70" s="16"/>
      <c r="AM70" s="20"/>
      <c r="AN70" s="16"/>
      <c r="AO70" s="16"/>
      <c r="AQ70" s="16"/>
      <c r="AS70" s="16"/>
      <c r="AU70" s="16"/>
      <c r="AW70" s="25"/>
      <c r="AX70" s="25"/>
      <c r="AY70" s="25"/>
      <c r="AZ70" s="25"/>
      <c r="BA70" s="25"/>
      <c r="BB70" s="16"/>
      <c r="BE70" s="25"/>
      <c r="BG70" s="20"/>
      <c r="BH70" s="16"/>
      <c r="BR70" s="16"/>
      <c r="BS70" s="17"/>
      <c r="BT70" s="17"/>
      <c r="BW70" s="20"/>
      <c r="BX70" s="20"/>
      <c r="BY70" s="20"/>
      <c r="CG70" s="20"/>
      <c r="CO70" s="27"/>
      <c r="CP70" s="17"/>
      <c r="CQ70" s="17"/>
    </row>
    <row r="71" customFormat="false" ht="15.75" hidden="false" customHeight="false" outlineLevel="0" collapsed="false">
      <c r="A71" s="12"/>
      <c r="B71" s="12"/>
      <c r="C71" s="12"/>
      <c r="F71" s="20"/>
      <c r="G71" s="20"/>
      <c r="H71" s="20"/>
      <c r="I71" s="20"/>
      <c r="J71" s="20"/>
      <c r="K71" s="20"/>
      <c r="L71" s="20"/>
      <c r="N71" s="20"/>
      <c r="Q71" s="20"/>
      <c r="R71" s="20"/>
      <c r="S71" s="20"/>
      <c r="T71" s="20"/>
      <c r="U71" s="20"/>
      <c r="X71" s="20"/>
      <c r="AB71" s="20"/>
      <c r="AC71" s="20"/>
      <c r="AD71" s="16"/>
      <c r="AF71" s="17"/>
      <c r="AG71" s="25"/>
      <c r="AH71" s="25"/>
      <c r="AI71" s="26"/>
      <c r="AJ71" s="16"/>
      <c r="AK71" s="16"/>
      <c r="AL71" s="16"/>
      <c r="AM71" s="20"/>
      <c r="AN71" s="16"/>
      <c r="AO71" s="16"/>
      <c r="AQ71" s="16"/>
      <c r="AS71" s="16"/>
      <c r="AU71" s="16"/>
      <c r="AW71" s="25"/>
      <c r="AX71" s="25"/>
      <c r="AY71" s="25"/>
      <c r="AZ71" s="25"/>
      <c r="BA71" s="25"/>
      <c r="BB71" s="16"/>
      <c r="BE71" s="25"/>
      <c r="BG71" s="20"/>
      <c r="BH71" s="16"/>
      <c r="BR71" s="16"/>
      <c r="BS71" s="17"/>
      <c r="BT71" s="17"/>
      <c r="BW71" s="20"/>
      <c r="BX71" s="20"/>
      <c r="BY71" s="20"/>
      <c r="CG71" s="20"/>
      <c r="CO71" s="27"/>
      <c r="CP71" s="17"/>
      <c r="CQ71" s="17"/>
    </row>
    <row r="72" customFormat="false" ht="15.75" hidden="false" customHeight="false" outlineLevel="0" collapsed="false">
      <c r="A72" s="12"/>
      <c r="B72" s="12"/>
      <c r="C72" s="12"/>
      <c r="F72" s="20"/>
      <c r="G72" s="20"/>
      <c r="H72" s="20"/>
      <c r="I72" s="20"/>
      <c r="J72" s="20"/>
      <c r="K72" s="20"/>
      <c r="L72" s="20"/>
      <c r="N72" s="20"/>
      <c r="Q72" s="20"/>
      <c r="R72" s="20"/>
      <c r="S72" s="20"/>
      <c r="T72" s="20"/>
      <c r="U72" s="20"/>
      <c r="X72" s="20"/>
      <c r="AB72" s="20"/>
      <c r="AC72" s="20"/>
      <c r="AD72" s="16"/>
      <c r="AF72" s="17"/>
      <c r="AG72" s="25"/>
      <c r="AH72" s="25"/>
      <c r="AI72" s="26"/>
      <c r="AJ72" s="16"/>
      <c r="AK72" s="16"/>
      <c r="AL72" s="16"/>
      <c r="AM72" s="20"/>
      <c r="AN72" s="16"/>
      <c r="AO72" s="16"/>
      <c r="AQ72" s="16"/>
      <c r="AS72" s="16"/>
      <c r="AU72" s="16"/>
      <c r="AW72" s="25"/>
      <c r="AX72" s="25"/>
      <c r="AY72" s="25"/>
      <c r="AZ72" s="25"/>
      <c r="BA72" s="25"/>
      <c r="BB72" s="16"/>
      <c r="BE72" s="25"/>
      <c r="BG72" s="20"/>
      <c r="BH72" s="16"/>
      <c r="BR72" s="16"/>
      <c r="BS72" s="17"/>
      <c r="BT72" s="17"/>
      <c r="BW72" s="20"/>
      <c r="BX72" s="20"/>
      <c r="BY72" s="20"/>
      <c r="CG72" s="20"/>
      <c r="CO72" s="27"/>
      <c r="CP72" s="17"/>
      <c r="CQ72" s="17"/>
    </row>
    <row r="73" customFormat="false" ht="15.75" hidden="false" customHeight="false" outlineLevel="0" collapsed="false">
      <c r="A73" s="12"/>
      <c r="B73" s="12"/>
      <c r="C73" s="12"/>
      <c r="F73" s="20"/>
      <c r="G73" s="20"/>
      <c r="H73" s="20"/>
      <c r="I73" s="20"/>
      <c r="J73" s="20"/>
      <c r="K73" s="20"/>
      <c r="L73" s="20"/>
      <c r="N73" s="20"/>
      <c r="Q73" s="20"/>
      <c r="R73" s="20"/>
      <c r="S73" s="20"/>
      <c r="T73" s="20"/>
      <c r="U73" s="20"/>
      <c r="X73" s="20"/>
      <c r="AB73" s="20"/>
      <c r="AC73" s="20"/>
      <c r="AD73" s="16"/>
      <c r="AF73" s="17"/>
      <c r="AG73" s="25"/>
      <c r="AH73" s="25"/>
      <c r="AI73" s="26"/>
      <c r="AJ73" s="16"/>
      <c r="AK73" s="16"/>
      <c r="AL73" s="16"/>
      <c r="AM73" s="20"/>
      <c r="AN73" s="16"/>
      <c r="AO73" s="16"/>
      <c r="AQ73" s="16"/>
      <c r="AS73" s="16"/>
      <c r="AU73" s="16"/>
      <c r="AW73" s="25"/>
      <c r="AX73" s="25"/>
      <c r="AY73" s="25"/>
      <c r="AZ73" s="25"/>
      <c r="BA73" s="25"/>
      <c r="BB73" s="16"/>
      <c r="BE73" s="25"/>
      <c r="BG73" s="20"/>
      <c r="BH73" s="16"/>
      <c r="BR73" s="16"/>
      <c r="BS73" s="17"/>
      <c r="BT73" s="17"/>
      <c r="BW73" s="20"/>
      <c r="BX73" s="20"/>
      <c r="BY73" s="20"/>
      <c r="CG73" s="20"/>
      <c r="CO73" s="27"/>
      <c r="CP73" s="17"/>
      <c r="CQ73" s="17"/>
    </row>
    <row r="74" customFormat="false" ht="15.75" hidden="false" customHeight="false" outlineLevel="0" collapsed="false">
      <c r="A74" s="12"/>
      <c r="B74" s="12"/>
      <c r="C74" s="12"/>
      <c r="F74" s="20"/>
      <c r="G74" s="20"/>
      <c r="H74" s="20"/>
      <c r="I74" s="20"/>
      <c r="J74" s="20"/>
      <c r="K74" s="20"/>
      <c r="L74" s="20"/>
      <c r="N74" s="20"/>
      <c r="Q74" s="20"/>
      <c r="R74" s="20"/>
      <c r="S74" s="20"/>
      <c r="T74" s="20"/>
      <c r="U74" s="20"/>
      <c r="X74" s="20"/>
      <c r="AB74" s="20"/>
      <c r="AC74" s="20"/>
      <c r="AD74" s="16"/>
      <c r="AF74" s="17"/>
      <c r="AG74" s="25"/>
      <c r="AH74" s="25"/>
      <c r="AI74" s="26"/>
      <c r="AJ74" s="16"/>
      <c r="AK74" s="16"/>
      <c r="AL74" s="16"/>
      <c r="AM74" s="20"/>
      <c r="AN74" s="16"/>
      <c r="AO74" s="16"/>
      <c r="AQ74" s="16"/>
      <c r="AS74" s="16"/>
      <c r="AU74" s="16"/>
      <c r="AW74" s="25"/>
      <c r="AX74" s="25"/>
      <c r="AY74" s="25"/>
      <c r="AZ74" s="25"/>
      <c r="BA74" s="25"/>
      <c r="BB74" s="16"/>
      <c r="BE74" s="25"/>
      <c r="BG74" s="20"/>
      <c r="BH74" s="16"/>
      <c r="BR74" s="16"/>
      <c r="BS74" s="17"/>
      <c r="BT74" s="17"/>
      <c r="BW74" s="20"/>
      <c r="BX74" s="20"/>
      <c r="BY74" s="20"/>
      <c r="CG74" s="20"/>
      <c r="CO74" s="27"/>
      <c r="CP74" s="17"/>
      <c r="CQ74" s="17"/>
    </row>
    <row r="75" customFormat="false" ht="15.75" hidden="false" customHeight="false" outlineLevel="0" collapsed="false">
      <c r="A75" s="12"/>
      <c r="B75" s="12"/>
      <c r="C75" s="12"/>
      <c r="F75" s="20"/>
      <c r="G75" s="20"/>
      <c r="H75" s="20"/>
      <c r="I75" s="20"/>
      <c r="J75" s="20"/>
      <c r="K75" s="20"/>
      <c r="L75" s="20"/>
      <c r="N75" s="20"/>
      <c r="Q75" s="20"/>
      <c r="R75" s="20"/>
      <c r="S75" s="20"/>
      <c r="T75" s="20"/>
      <c r="U75" s="20"/>
      <c r="X75" s="20"/>
      <c r="AB75" s="20"/>
      <c r="AC75" s="20"/>
      <c r="AD75" s="16"/>
      <c r="AF75" s="17"/>
      <c r="AG75" s="25"/>
      <c r="AH75" s="25"/>
      <c r="AI75" s="26"/>
      <c r="AJ75" s="16"/>
      <c r="AK75" s="16"/>
      <c r="AL75" s="16"/>
      <c r="AM75" s="20"/>
      <c r="AN75" s="16"/>
      <c r="AO75" s="16"/>
      <c r="AQ75" s="16"/>
      <c r="AS75" s="16"/>
      <c r="AU75" s="16"/>
      <c r="AW75" s="25"/>
      <c r="AX75" s="25"/>
      <c r="AY75" s="25"/>
      <c r="AZ75" s="25"/>
      <c r="BA75" s="25"/>
      <c r="BB75" s="16"/>
      <c r="BE75" s="25"/>
      <c r="BG75" s="20"/>
      <c r="BH75" s="16"/>
      <c r="BR75" s="16"/>
      <c r="BS75" s="17"/>
      <c r="BT75" s="17"/>
      <c r="BW75" s="20"/>
      <c r="BX75" s="20"/>
      <c r="BY75" s="20"/>
      <c r="CG75" s="20"/>
      <c r="CO75" s="27"/>
      <c r="CP75" s="17"/>
      <c r="CQ75" s="17"/>
    </row>
    <row r="76" customFormat="false" ht="15.75" hidden="false" customHeight="false" outlineLevel="0" collapsed="false">
      <c r="A76" s="12"/>
      <c r="B76" s="12"/>
      <c r="C76" s="12"/>
      <c r="F76" s="20"/>
      <c r="G76" s="20"/>
      <c r="H76" s="20"/>
      <c r="I76" s="20"/>
      <c r="J76" s="20"/>
      <c r="K76" s="20"/>
      <c r="L76" s="20"/>
      <c r="N76" s="20"/>
      <c r="Q76" s="20"/>
      <c r="R76" s="20"/>
      <c r="S76" s="20"/>
      <c r="T76" s="20"/>
      <c r="U76" s="20"/>
      <c r="X76" s="20"/>
      <c r="AB76" s="20"/>
      <c r="AC76" s="20"/>
      <c r="AD76" s="16"/>
      <c r="AF76" s="17"/>
      <c r="AG76" s="25"/>
      <c r="AH76" s="25"/>
      <c r="AI76" s="26"/>
      <c r="AJ76" s="16"/>
      <c r="AK76" s="16"/>
      <c r="AL76" s="16"/>
      <c r="AM76" s="20"/>
      <c r="AN76" s="16"/>
      <c r="AO76" s="16"/>
      <c r="AQ76" s="16"/>
      <c r="AS76" s="16"/>
      <c r="AU76" s="16"/>
      <c r="AW76" s="25"/>
      <c r="AX76" s="25"/>
      <c r="AY76" s="25"/>
      <c r="AZ76" s="25"/>
      <c r="BA76" s="25"/>
      <c r="BB76" s="16"/>
      <c r="BE76" s="25"/>
      <c r="BG76" s="20"/>
      <c r="BH76" s="16"/>
      <c r="BR76" s="16"/>
      <c r="BS76" s="17"/>
      <c r="BT76" s="17"/>
      <c r="BW76" s="20"/>
      <c r="BX76" s="20"/>
      <c r="BY76" s="20"/>
      <c r="CG76" s="20"/>
      <c r="CO76" s="27"/>
      <c r="CP76" s="17"/>
      <c r="CQ76" s="17"/>
    </row>
    <row r="77" customFormat="false" ht="15.75" hidden="false" customHeight="false" outlineLevel="0" collapsed="false">
      <c r="A77" s="12"/>
      <c r="B77" s="12"/>
      <c r="C77" s="12"/>
      <c r="F77" s="20"/>
      <c r="G77" s="20"/>
      <c r="H77" s="20"/>
      <c r="I77" s="20"/>
      <c r="J77" s="20"/>
      <c r="K77" s="20"/>
      <c r="L77" s="20"/>
      <c r="N77" s="20"/>
      <c r="Q77" s="20"/>
      <c r="R77" s="20"/>
      <c r="S77" s="20"/>
      <c r="T77" s="20"/>
      <c r="U77" s="20"/>
      <c r="X77" s="20"/>
      <c r="AB77" s="20"/>
      <c r="AC77" s="20"/>
      <c r="AD77" s="16"/>
      <c r="AF77" s="17"/>
      <c r="AG77" s="25"/>
      <c r="AH77" s="25"/>
      <c r="AI77" s="26"/>
      <c r="AJ77" s="16"/>
      <c r="AK77" s="16"/>
      <c r="AL77" s="16"/>
      <c r="AM77" s="20"/>
      <c r="AN77" s="16"/>
      <c r="AO77" s="16"/>
      <c r="AQ77" s="16"/>
      <c r="AS77" s="16"/>
      <c r="AU77" s="16"/>
      <c r="AW77" s="25"/>
      <c r="AX77" s="25"/>
      <c r="AY77" s="25"/>
      <c r="AZ77" s="25"/>
      <c r="BA77" s="25"/>
      <c r="BB77" s="16"/>
      <c r="BE77" s="25"/>
      <c r="BG77" s="20"/>
      <c r="BH77" s="16"/>
      <c r="BR77" s="16"/>
      <c r="BS77" s="17"/>
      <c r="BT77" s="17"/>
      <c r="BW77" s="20"/>
      <c r="BX77" s="20"/>
      <c r="BY77" s="20"/>
      <c r="CG77" s="20"/>
      <c r="CO77" s="27"/>
      <c r="CP77" s="17"/>
      <c r="CQ77" s="17"/>
    </row>
    <row r="78" customFormat="false" ht="15.75" hidden="false" customHeight="false" outlineLevel="0" collapsed="false">
      <c r="A78" s="12"/>
      <c r="B78" s="12"/>
      <c r="C78" s="12"/>
      <c r="F78" s="20"/>
      <c r="G78" s="20"/>
      <c r="H78" s="20"/>
      <c r="I78" s="20"/>
      <c r="J78" s="20"/>
      <c r="K78" s="20"/>
      <c r="L78" s="20"/>
      <c r="N78" s="20"/>
      <c r="Q78" s="20"/>
      <c r="R78" s="20"/>
      <c r="S78" s="20"/>
      <c r="T78" s="20"/>
      <c r="U78" s="20"/>
      <c r="X78" s="20"/>
      <c r="AB78" s="20"/>
      <c r="AC78" s="20"/>
      <c r="AD78" s="16"/>
      <c r="AF78" s="17"/>
      <c r="AG78" s="25"/>
      <c r="AH78" s="25"/>
      <c r="AI78" s="26"/>
      <c r="AJ78" s="16"/>
      <c r="AK78" s="16"/>
      <c r="AL78" s="16"/>
      <c r="AM78" s="20"/>
      <c r="AN78" s="16"/>
      <c r="AO78" s="16"/>
      <c r="AQ78" s="16"/>
      <c r="AS78" s="16"/>
      <c r="AU78" s="16"/>
      <c r="AW78" s="25"/>
      <c r="AX78" s="25"/>
      <c r="AY78" s="25"/>
      <c r="AZ78" s="25"/>
      <c r="BA78" s="25"/>
      <c r="BB78" s="16"/>
      <c r="BE78" s="25"/>
      <c r="BG78" s="20"/>
      <c r="BH78" s="16"/>
      <c r="BR78" s="16"/>
      <c r="BS78" s="17"/>
      <c r="BT78" s="17"/>
      <c r="BW78" s="20"/>
      <c r="BX78" s="20"/>
      <c r="BY78" s="20"/>
      <c r="CG78" s="20"/>
      <c r="CO78" s="27"/>
      <c r="CP78" s="17"/>
      <c r="CQ78" s="17"/>
    </row>
    <row r="79" customFormat="false" ht="15.75" hidden="false" customHeight="false" outlineLevel="0" collapsed="false">
      <c r="A79" s="12"/>
      <c r="B79" s="12"/>
      <c r="C79" s="12"/>
      <c r="F79" s="20"/>
      <c r="G79" s="20"/>
      <c r="H79" s="20"/>
      <c r="I79" s="20"/>
      <c r="J79" s="20"/>
      <c r="K79" s="20"/>
      <c r="L79" s="20"/>
      <c r="N79" s="20"/>
      <c r="Q79" s="20"/>
      <c r="R79" s="20"/>
      <c r="S79" s="20"/>
      <c r="T79" s="20"/>
      <c r="U79" s="20"/>
      <c r="X79" s="20"/>
      <c r="AB79" s="20"/>
      <c r="AC79" s="20"/>
      <c r="AD79" s="16"/>
      <c r="AF79" s="17"/>
      <c r="AG79" s="25"/>
      <c r="AH79" s="25"/>
      <c r="AI79" s="26"/>
      <c r="AJ79" s="16"/>
      <c r="AK79" s="16"/>
      <c r="AL79" s="16"/>
      <c r="AM79" s="20"/>
      <c r="AN79" s="16"/>
      <c r="AO79" s="16"/>
      <c r="AQ79" s="16"/>
      <c r="AS79" s="16"/>
      <c r="AU79" s="16"/>
      <c r="AW79" s="25"/>
      <c r="AX79" s="25"/>
      <c r="AY79" s="25"/>
      <c r="AZ79" s="25"/>
      <c r="BA79" s="25"/>
      <c r="BB79" s="16"/>
      <c r="BE79" s="25"/>
      <c r="BG79" s="20"/>
      <c r="BH79" s="16"/>
      <c r="BR79" s="16"/>
      <c r="BS79" s="17"/>
      <c r="BT79" s="17"/>
      <c r="BW79" s="20"/>
      <c r="BX79" s="20"/>
      <c r="BY79" s="20"/>
      <c r="CG79" s="20"/>
      <c r="CO79" s="27"/>
      <c r="CP79" s="17"/>
      <c r="CQ79" s="17"/>
    </row>
    <row r="80" customFormat="false" ht="15.75" hidden="false" customHeight="false" outlineLevel="0" collapsed="false">
      <c r="A80" s="12"/>
      <c r="B80" s="12"/>
      <c r="C80" s="12"/>
      <c r="F80" s="20"/>
      <c r="G80" s="20"/>
      <c r="H80" s="20"/>
      <c r="I80" s="20"/>
      <c r="J80" s="20"/>
      <c r="K80" s="20"/>
      <c r="L80" s="20"/>
      <c r="N80" s="20"/>
      <c r="Q80" s="20"/>
      <c r="R80" s="20"/>
      <c r="S80" s="20"/>
      <c r="T80" s="20"/>
      <c r="U80" s="20"/>
      <c r="X80" s="20"/>
      <c r="AB80" s="20"/>
      <c r="AC80" s="20"/>
      <c r="AD80" s="16"/>
      <c r="AF80" s="17"/>
      <c r="AG80" s="25"/>
      <c r="AH80" s="25"/>
      <c r="AI80" s="26"/>
      <c r="AJ80" s="16"/>
      <c r="AK80" s="16"/>
      <c r="AL80" s="16"/>
      <c r="AM80" s="20"/>
      <c r="AN80" s="16"/>
      <c r="AO80" s="16"/>
      <c r="AQ80" s="16"/>
      <c r="AS80" s="16"/>
      <c r="AU80" s="16"/>
      <c r="AW80" s="25"/>
      <c r="AX80" s="25"/>
      <c r="AY80" s="25"/>
      <c r="AZ80" s="25"/>
      <c r="BA80" s="25"/>
      <c r="BB80" s="16"/>
      <c r="BE80" s="25"/>
      <c r="BG80" s="20"/>
      <c r="BH80" s="16"/>
      <c r="BR80" s="16"/>
      <c r="BS80" s="17"/>
      <c r="BT80" s="17"/>
      <c r="BW80" s="20"/>
      <c r="BX80" s="20"/>
      <c r="BY80" s="20"/>
      <c r="CG80" s="20"/>
      <c r="CO80" s="27"/>
      <c r="CP80" s="17"/>
      <c r="CQ80" s="17"/>
    </row>
    <row r="81" customFormat="false" ht="15.75" hidden="false" customHeight="false" outlineLevel="0" collapsed="false">
      <c r="A81" s="12"/>
      <c r="B81" s="12"/>
      <c r="C81" s="12"/>
      <c r="F81" s="20"/>
      <c r="G81" s="20"/>
      <c r="H81" s="20"/>
      <c r="I81" s="20"/>
      <c r="J81" s="20"/>
      <c r="K81" s="20"/>
      <c r="L81" s="20"/>
      <c r="N81" s="20"/>
      <c r="Q81" s="20"/>
      <c r="R81" s="20"/>
      <c r="S81" s="20"/>
      <c r="T81" s="20"/>
      <c r="U81" s="20"/>
      <c r="X81" s="20"/>
      <c r="AB81" s="20"/>
      <c r="AC81" s="20"/>
      <c r="AD81" s="16"/>
      <c r="AF81" s="17"/>
      <c r="AG81" s="25"/>
      <c r="AH81" s="25"/>
      <c r="AI81" s="26"/>
      <c r="AJ81" s="16"/>
      <c r="AK81" s="16"/>
      <c r="AL81" s="16"/>
      <c r="AM81" s="20"/>
      <c r="AN81" s="16"/>
      <c r="AO81" s="16"/>
      <c r="AQ81" s="16"/>
      <c r="AS81" s="16"/>
      <c r="AU81" s="16"/>
      <c r="AW81" s="25"/>
      <c r="AX81" s="25"/>
      <c r="AY81" s="25"/>
      <c r="AZ81" s="25"/>
      <c r="BA81" s="25"/>
      <c r="BB81" s="16"/>
      <c r="BE81" s="25"/>
      <c r="BG81" s="20"/>
      <c r="BH81" s="16"/>
      <c r="BR81" s="16"/>
      <c r="BS81" s="17"/>
      <c r="BT81" s="17"/>
      <c r="BW81" s="20"/>
      <c r="BX81" s="20"/>
      <c r="BY81" s="20"/>
      <c r="CG81" s="20"/>
      <c r="CO81" s="27"/>
      <c r="CP81" s="17"/>
      <c r="CQ81" s="17"/>
    </row>
    <row r="82" customFormat="false" ht="15.75" hidden="false" customHeight="false" outlineLevel="0" collapsed="false">
      <c r="A82" s="12"/>
      <c r="B82" s="12"/>
      <c r="C82" s="12"/>
      <c r="F82" s="20"/>
      <c r="G82" s="20"/>
      <c r="H82" s="20"/>
      <c r="I82" s="20"/>
      <c r="J82" s="20"/>
      <c r="K82" s="20"/>
      <c r="L82" s="20"/>
      <c r="N82" s="20"/>
      <c r="Q82" s="20"/>
      <c r="R82" s="20"/>
      <c r="S82" s="20"/>
      <c r="T82" s="20"/>
      <c r="U82" s="20"/>
      <c r="X82" s="20"/>
      <c r="AB82" s="20"/>
      <c r="AC82" s="20"/>
      <c r="AD82" s="16"/>
      <c r="AF82" s="17"/>
      <c r="AG82" s="25"/>
      <c r="AH82" s="25"/>
      <c r="AI82" s="26"/>
      <c r="AJ82" s="16"/>
      <c r="AK82" s="16"/>
      <c r="AL82" s="16"/>
      <c r="AM82" s="20"/>
      <c r="AN82" s="16"/>
      <c r="AO82" s="16"/>
      <c r="AQ82" s="16"/>
      <c r="AS82" s="16"/>
      <c r="AU82" s="16"/>
      <c r="AW82" s="25"/>
      <c r="AX82" s="25"/>
      <c r="AY82" s="25"/>
      <c r="AZ82" s="25"/>
      <c r="BA82" s="25"/>
      <c r="BB82" s="16"/>
      <c r="BE82" s="25"/>
      <c r="BG82" s="20"/>
      <c r="BH82" s="16"/>
      <c r="BR82" s="16"/>
      <c r="BS82" s="17"/>
      <c r="BT82" s="17"/>
      <c r="BW82" s="20"/>
      <c r="BX82" s="20"/>
      <c r="BY82" s="20"/>
      <c r="CG82" s="20"/>
      <c r="CO82" s="27"/>
      <c r="CP82" s="17"/>
      <c r="CQ82" s="17"/>
    </row>
    <row r="83" customFormat="false" ht="15.75" hidden="false" customHeight="false" outlineLevel="0" collapsed="false">
      <c r="A83" s="12"/>
      <c r="B83" s="12"/>
      <c r="C83" s="12"/>
      <c r="F83" s="20"/>
      <c r="G83" s="20"/>
      <c r="H83" s="20"/>
      <c r="I83" s="20"/>
      <c r="J83" s="20"/>
      <c r="K83" s="20"/>
      <c r="L83" s="20"/>
      <c r="N83" s="20"/>
      <c r="Q83" s="20"/>
      <c r="R83" s="20"/>
      <c r="S83" s="20"/>
      <c r="T83" s="20"/>
      <c r="U83" s="20"/>
      <c r="X83" s="20"/>
      <c r="AB83" s="20"/>
      <c r="AC83" s="20"/>
      <c r="AD83" s="16"/>
      <c r="AF83" s="17"/>
      <c r="AG83" s="25"/>
      <c r="AH83" s="25"/>
      <c r="AI83" s="26"/>
      <c r="AJ83" s="16"/>
      <c r="AK83" s="16"/>
      <c r="AL83" s="16"/>
      <c r="AM83" s="20"/>
      <c r="AN83" s="16"/>
      <c r="AO83" s="16"/>
      <c r="AQ83" s="16"/>
      <c r="AS83" s="16"/>
      <c r="AU83" s="16"/>
      <c r="AW83" s="25"/>
      <c r="AX83" s="25"/>
      <c r="AY83" s="25"/>
      <c r="AZ83" s="25"/>
      <c r="BA83" s="25"/>
      <c r="BB83" s="16"/>
      <c r="BE83" s="25"/>
      <c r="BG83" s="20"/>
      <c r="BH83" s="16"/>
      <c r="BR83" s="16"/>
      <c r="BS83" s="17"/>
      <c r="BT83" s="17"/>
      <c r="BW83" s="20"/>
      <c r="BX83" s="20"/>
      <c r="BY83" s="20"/>
      <c r="CG83" s="20"/>
      <c r="CO83" s="27"/>
      <c r="CP83" s="17"/>
      <c r="CQ83" s="17"/>
    </row>
    <row r="84" customFormat="false" ht="15.75" hidden="false" customHeight="false" outlineLevel="0" collapsed="false">
      <c r="A84" s="12"/>
      <c r="B84" s="12"/>
      <c r="C84" s="12"/>
      <c r="F84" s="20"/>
      <c r="G84" s="20"/>
      <c r="H84" s="20"/>
      <c r="I84" s="20"/>
      <c r="J84" s="20"/>
      <c r="K84" s="20"/>
      <c r="L84" s="20"/>
      <c r="N84" s="20"/>
      <c r="Q84" s="20"/>
      <c r="R84" s="20"/>
      <c r="S84" s="20"/>
      <c r="T84" s="20"/>
      <c r="U84" s="20"/>
      <c r="X84" s="20"/>
      <c r="AB84" s="20"/>
      <c r="AC84" s="20"/>
      <c r="AD84" s="16"/>
      <c r="AF84" s="17"/>
      <c r="AG84" s="25"/>
      <c r="AH84" s="25"/>
      <c r="AI84" s="26"/>
      <c r="AJ84" s="16"/>
      <c r="AK84" s="16"/>
      <c r="AL84" s="16"/>
      <c r="AM84" s="20"/>
      <c r="AN84" s="16"/>
      <c r="AO84" s="16"/>
      <c r="AQ84" s="16"/>
      <c r="AS84" s="16"/>
      <c r="AU84" s="16"/>
      <c r="AW84" s="25"/>
      <c r="AX84" s="25"/>
      <c r="AY84" s="25"/>
      <c r="AZ84" s="25"/>
      <c r="BA84" s="25"/>
      <c r="BB84" s="16"/>
      <c r="BE84" s="25"/>
      <c r="BG84" s="20"/>
      <c r="BH84" s="16"/>
      <c r="BR84" s="16"/>
      <c r="BS84" s="17"/>
      <c r="BT84" s="17"/>
      <c r="BW84" s="20"/>
      <c r="BX84" s="20"/>
      <c r="BY84" s="20"/>
      <c r="CG84" s="20"/>
      <c r="CO84" s="27"/>
      <c r="CP84" s="17"/>
      <c r="CQ84" s="17"/>
    </row>
    <row r="85" customFormat="false" ht="15.75" hidden="false" customHeight="false" outlineLevel="0" collapsed="false">
      <c r="A85" s="12"/>
      <c r="B85" s="12"/>
      <c r="C85" s="12"/>
      <c r="F85" s="20"/>
      <c r="G85" s="20"/>
      <c r="H85" s="20"/>
      <c r="I85" s="20"/>
      <c r="J85" s="20"/>
      <c r="K85" s="20"/>
      <c r="L85" s="20"/>
      <c r="N85" s="20"/>
      <c r="Q85" s="20"/>
      <c r="R85" s="20"/>
      <c r="S85" s="20"/>
      <c r="T85" s="20"/>
      <c r="U85" s="20"/>
      <c r="X85" s="20"/>
      <c r="AB85" s="20"/>
      <c r="AC85" s="20"/>
      <c r="AD85" s="16"/>
      <c r="AF85" s="17"/>
      <c r="AG85" s="25"/>
      <c r="AH85" s="25"/>
      <c r="AI85" s="26"/>
      <c r="AJ85" s="16"/>
      <c r="AK85" s="16"/>
      <c r="AL85" s="16"/>
      <c r="AM85" s="20"/>
      <c r="AN85" s="16"/>
      <c r="AO85" s="16"/>
      <c r="AQ85" s="16"/>
      <c r="AS85" s="16"/>
      <c r="AU85" s="16"/>
      <c r="AW85" s="25"/>
      <c r="AX85" s="25"/>
      <c r="AY85" s="25"/>
      <c r="AZ85" s="25"/>
      <c r="BA85" s="25"/>
      <c r="BB85" s="16"/>
      <c r="BE85" s="25"/>
      <c r="BG85" s="20"/>
      <c r="BH85" s="16"/>
      <c r="BR85" s="16"/>
      <c r="BS85" s="17"/>
      <c r="BT85" s="17"/>
      <c r="BW85" s="20"/>
      <c r="BX85" s="20"/>
      <c r="BY85" s="20"/>
      <c r="CG85" s="20"/>
      <c r="CO85" s="27"/>
      <c r="CP85" s="17"/>
      <c r="CQ85" s="17"/>
    </row>
    <row r="86" customFormat="false" ht="15.75" hidden="false" customHeight="false" outlineLevel="0" collapsed="false">
      <c r="A86" s="12"/>
      <c r="B86" s="12"/>
      <c r="C86" s="12"/>
      <c r="F86" s="20"/>
      <c r="G86" s="20"/>
      <c r="H86" s="20"/>
      <c r="I86" s="20"/>
      <c r="J86" s="20"/>
      <c r="K86" s="20"/>
      <c r="L86" s="20"/>
      <c r="N86" s="20"/>
      <c r="Q86" s="20"/>
      <c r="R86" s="20"/>
      <c r="S86" s="20"/>
      <c r="T86" s="20"/>
      <c r="U86" s="20"/>
      <c r="X86" s="20"/>
      <c r="AB86" s="20"/>
      <c r="AC86" s="20"/>
      <c r="AD86" s="16"/>
      <c r="AF86" s="17"/>
      <c r="AG86" s="25"/>
      <c r="AH86" s="25"/>
      <c r="AI86" s="26"/>
      <c r="AJ86" s="16"/>
      <c r="AK86" s="16"/>
      <c r="AL86" s="16"/>
      <c r="AM86" s="20"/>
      <c r="AN86" s="16"/>
      <c r="AO86" s="16"/>
      <c r="AQ86" s="16"/>
      <c r="AS86" s="16"/>
      <c r="AU86" s="16"/>
      <c r="AW86" s="25"/>
      <c r="AX86" s="25"/>
      <c r="AY86" s="25"/>
      <c r="AZ86" s="25"/>
      <c r="BA86" s="25"/>
      <c r="BB86" s="16"/>
      <c r="BE86" s="25"/>
      <c r="BG86" s="20"/>
      <c r="BH86" s="16"/>
      <c r="BR86" s="16"/>
      <c r="BS86" s="17"/>
      <c r="BT86" s="17"/>
      <c r="BW86" s="20"/>
      <c r="BX86" s="20"/>
      <c r="BY86" s="20"/>
      <c r="CG86" s="20"/>
      <c r="CO86" s="27"/>
      <c r="CP86" s="17"/>
      <c r="CQ86" s="17"/>
    </row>
    <row r="87" customFormat="false" ht="15.75" hidden="false" customHeight="false" outlineLevel="0" collapsed="false">
      <c r="A87" s="12"/>
      <c r="B87" s="12"/>
      <c r="C87" s="12"/>
      <c r="F87" s="20"/>
      <c r="G87" s="20"/>
      <c r="H87" s="20"/>
      <c r="I87" s="20"/>
      <c r="J87" s="20"/>
      <c r="K87" s="20"/>
      <c r="L87" s="20"/>
      <c r="N87" s="20"/>
      <c r="Q87" s="20"/>
      <c r="R87" s="20"/>
      <c r="S87" s="20"/>
      <c r="T87" s="20"/>
      <c r="U87" s="20"/>
      <c r="X87" s="20"/>
      <c r="AB87" s="20"/>
      <c r="AC87" s="20"/>
      <c r="AD87" s="16"/>
      <c r="AF87" s="17"/>
      <c r="AG87" s="25"/>
      <c r="AH87" s="25"/>
      <c r="AI87" s="26"/>
      <c r="AJ87" s="16"/>
      <c r="AK87" s="16"/>
      <c r="AL87" s="16"/>
      <c r="AM87" s="20"/>
      <c r="AN87" s="16"/>
      <c r="AO87" s="16"/>
      <c r="AQ87" s="16"/>
      <c r="AS87" s="16"/>
      <c r="AU87" s="16"/>
      <c r="AW87" s="25"/>
      <c r="AX87" s="25"/>
      <c r="AY87" s="25"/>
      <c r="AZ87" s="25"/>
      <c r="BA87" s="25"/>
      <c r="BB87" s="16"/>
      <c r="BE87" s="25"/>
      <c r="BG87" s="20"/>
      <c r="BH87" s="16"/>
      <c r="BR87" s="16"/>
      <c r="BS87" s="17"/>
      <c r="BT87" s="17"/>
      <c r="BW87" s="20"/>
      <c r="BX87" s="20"/>
      <c r="BY87" s="20"/>
      <c r="CG87" s="20"/>
      <c r="CO87" s="27"/>
      <c r="CP87" s="17"/>
      <c r="CQ87" s="17"/>
    </row>
    <row r="88" customFormat="false" ht="15.75" hidden="false" customHeight="false" outlineLevel="0" collapsed="false">
      <c r="A88" s="12"/>
      <c r="B88" s="12"/>
      <c r="C88" s="12"/>
      <c r="F88" s="20"/>
      <c r="G88" s="20"/>
      <c r="H88" s="20"/>
      <c r="I88" s="20"/>
      <c r="J88" s="20"/>
      <c r="K88" s="20"/>
      <c r="L88" s="20"/>
      <c r="N88" s="20"/>
      <c r="Q88" s="20"/>
      <c r="R88" s="20"/>
      <c r="S88" s="20"/>
      <c r="T88" s="20"/>
      <c r="U88" s="20"/>
      <c r="X88" s="20"/>
      <c r="AB88" s="20"/>
      <c r="AC88" s="20"/>
      <c r="AD88" s="16"/>
      <c r="AF88" s="17"/>
      <c r="AG88" s="25"/>
      <c r="AH88" s="25"/>
      <c r="AI88" s="26"/>
      <c r="AJ88" s="16"/>
      <c r="AK88" s="16"/>
      <c r="AL88" s="16"/>
      <c r="AM88" s="20"/>
      <c r="AN88" s="16"/>
      <c r="AO88" s="16"/>
      <c r="AQ88" s="16"/>
      <c r="AS88" s="16"/>
      <c r="AU88" s="16"/>
      <c r="AW88" s="25"/>
      <c r="AX88" s="25"/>
      <c r="AY88" s="25"/>
      <c r="AZ88" s="25"/>
      <c r="BA88" s="25"/>
      <c r="BB88" s="16"/>
      <c r="BE88" s="25"/>
      <c r="BG88" s="20"/>
      <c r="BH88" s="16"/>
      <c r="BR88" s="16"/>
      <c r="BS88" s="17"/>
      <c r="BT88" s="17"/>
      <c r="BW88" s="20"/>
      <c r="BX88" s="20"/>
      <c r="BY88" s="20"/>
      <c r="CG88" s="20"/>
      <c r="CO88" s="27"/>
      <c r="CP88" s="17"/>
      <c r="CQ88" s="17"/>
    </row>
    <row r="89" customFormat="false" ht="15.75" hidden="false" customHeight="false" outlineLevel="0" collapsed="false">
      <c r="A89" s="12"/>
      <c r="B89" s="12"/>
      <c r="C89" s="12"/>
      <c r="F89" s="20"/>
      <c r="G89" s="20"/>
      <c r="H89" s="20"/>
      <c r="I89" s="20"/>
      <c r="J89" s="20"/>
      <c r="K89" s="20"/>
      <c r="L89" s="20"/>
      <c r="N89" s="20"/>
      <c r="Q89" s="20"/>
      <c r="R89" s="20"/>
      <c r="S89" s="20"/>
      <c r="T89" s="20"/>
      <c r="U89" s="20"/>
      <c r="X89" s="20"/>
      <c r="AB89" s="20"/>
      <c r="AC89" s="20"/>
      <c r="AD89" s="16"/>
      <c r="AF89" s="17"/>
      <c r="AG89" s="25"/>
      <c r="AH89" s="25"/>
      <c r="AI89" s="26"/>
      <c r="AJ89" s="16"/>
      <c r="AK89" s="16"/>
      <c r="AL89" s="16"/>
      <c r="AM89" s="20"/>
      <c r="AN89" s="16"/>
      <c r="AO89" s="16"/>
      <c r="AQ89" s="16"/>
      <c r="AS89" s="16"/>
      <c r="AU89" s="16"/>
      <c r="AW89" s="25"/>
      <c r="AX89" s="25"/>
      <c r="AY89" s="25"/>
      <c r="AZ89" s="25"/>
      <c r="BA89" s="25"/>
      <c r="BB89" s="16"/>
      <c r="BE89" s="25"/>
      <c r="BG89" s="20"/>
      <c r="BH89" s="16"/>
      <c r="BR89" s="16"/>
      <c r="BS89" s="17"/>
      <c r="BT89" s="17"/>
      <c r="BW89" s="20"/>
      <c r="BX89" s="20"/>
      <c r="BY89" s="20"/>
      <c r="CG89" s="20"/>
      <c r="CO89" s="27"/>
      <c r="CP89" s="17"/>
      <c r="CQ89" s="17"/>
    </row>
    <row r="90" customFormat="false" ht="15.75" hidden="false" customHeight="false" outlineLevel="0" collapsed="false">
      <c r="A90" s="12"/>
      <c r="B90" s="12"/>
      <c r="C90" s="12"/>
      <c r="F90" s="20"/>
      <c r="G90" s="20"/>
      <c r="H90" s="20"/>
      <c r="I90" s="20"/>
      <c r="J90" s="20"/>
      <c r="K90" s="20"/>
      <c r="L90" s="20"/>
      <c r="N90" s="20"/>
      <c r="Q90" s="20"/>
      <c r="R90" s="20"/>
      <c r="S90" s="20"/>
      <c r="T90" s="20"/>
      <c r="U90" s="20"/>
      <c r="X90" s="20"/>
      <c r="AB90" s="20"/>
      <c r="AC90" s="20"/>
      <c r="AD90" s="16"/>
      <c r="AF90" s="17"/>
      <c r="AG90" s="25"/>
      <c r="AH90" s="25"/>
      <c r="AI90" s="26"/>
      <c r="AJ90" s="16"/>
      <c r="AK90" s="16"/>
      <c r="AL90" s="16"/>
      <c r="AM90" s="20"/>
      <c r="AN90" s="16"/>
      <c r="AO90" s="16"/>
      <c r="AQ90" s="16"/>
      <c r="AS90" s="16"/>
      <c r="AU90" s="16"/>
      <c r="AW90" s="25"/>
      <c r="AX90" s="25"/>
      <c r="AY90" s="25"/>
      <c r="AZ90" s="25"/>
      <c r="BA90" s="25"/>
      <c r="BB90" s="16"/>
      <c r="BE90" s="25"/>
      <c r="BG90" s="20"/>
      <c r="BH90" s="16"/>
      <c r="BR90" s="16"/>
      <c r="BS90" s="17"/>
      <c r="BT90" s="17"/>
      <c r="BW90" s="20"/>
      <c r="BX90" s="20"/>
      <c r="BY90" s="20"/>
      <c r="CG90" s="20"/>
      <c r="CO90" s="27"/>
      <c r="CP90" s="17"/>
      <c r="CQ90" s="17"/>
    </row>
    <row r="91" customFormat="false" ht="15.75" hidden="false" customHeight="false" outlineLevel="0" collapsed="false">
      <c r="A91" s="12"/>
      <c r="B91" s="12"/>
      <c r="C91" s="12"/>
      <c r="F91" s="20"/>
      <c r="G91" s="20"/>
      <c r="H91" s="20"/>
      <c r="I91" s="20"/>
      <c r="J91" s="20"/>
      <c r="K91" s="20"/>
      <c r="L91" s="20"/>
      <c r="N91" s="20"/>
      <c r="Q91" s="20"/>
      <c r="R91" s="20"/>
      <c r="S91" s="20"/>
      <c r="T91" s="20"/>
      <c r="U91" s="20"/>
      <c r="X91" s="20"/>
      <c r="AB91" s="20"/>
      <c r="AC91" s="20"/>
      <c r="AD91" s="16"/>
      <c r="AF91" s="17"/>
      <c r="AG91" s="25"/>
      <c r="AH91" s="25"/>
      <c r="AI91" s="26"/>
      <c r="AJ91" s="16"/>
      <c r="AK91" s="16"/>
      <c r="AL91" s="16"/>
      <c r="AM91" s="20"/>
      <c r="AN91" s="16"/>
      <c r="AO91" s="16"/>
      <c r="AQ91" s="16"/>
      <c r="AS91" s="16"/>
      <c r="AU91" s="16"/>
      <c r="AW91" s="25"/>
      <c r="AX91" s="25"/>
      <c r="AY91" s="25"/>
      <c r="AZ91" s="25"/>
      <c r="BA91" s="25"/>
      <c r="BB91" s="16"/>
      <c r="BE91" s="25"/>
      <c r="BG91" s="20"/>
      <c r="BH91" s="16"/>
      <c r="BR91" s="16"/>
      <c r="BS91" s="17"/>
      <c r="BT91" s="17"/>
      <c r="BW91" s="20"/>
      <c r="BX91" s="20"/>
      <c r="BY91" s="20"/>
      <c r="CG91" s="20"/>
      <c r="CO91" s="27"/>
      <c r="CP91" s="17"/>
      <c r="CQ91" s="17"/>
    </row>
    <row r="92" customFormat="false" ht="15.75" hidden="false" customHeight="false" outlineLevel="0" collapsed="false">
      <c r="A92" s="12"/>
      <c r="B92" s="12"/>
      <c r="C92" s="12"/>
      <c r="F92" s="20"/>
      <c r="G92" s="20"/>
      <c r="H92" s="20"/>
      <c r="I92" s="20"/>
      <c r="J92" s="20"/>
      <c r="K92" s="20"/>
      <c r="L92" s="20"/>
      <c r="N92" s="20"/>
      <c r="Q92" s="20"/>
      <c r="R92" s="20"/>
      <c r="S92" s="20"/>
      <c r="T92" s="20"/>
      <c r="U92" s="20"/>
      <c r="X92" s="20"/>
      <c r="AB92" s="20"/>
      <c r="AC92" s="20"/>
      <c r="AD92" s="16"/>
      <c r="AF92" s="17"/>
      <c r="AG92" s="25"/>
      <c r="AH92" s="25"/>
      <c r="AI92" s="26"/>
      <c r="AJ92" s="16"/>
      <c r="AK92" s="16"/>
      <c r="AL92" s="16"/>
      <c r="AM92" s="20"/>
      <c r="AN92" s="16"/>
      <c r="AO92" s="16"/>
      <c r="AQ92" s="16"/>
      <c r="AS92" s="16"/>
      <c r="AU92" s="16"/>
      <c r="AW92" s="25"/>
      <c r="AX92" s="25"/>
      <c r="AY92" s="25"/>
      <c r="AZ92" s="25"/>
      <c r="BA92" s="25"/>
      <c r="BB92" s="16"/>
      <c r="BE92" s="25"/>
      <c r="BG92" s="20"/>
      <c r="BH92" s="16"/>
      <c r="BR92" s="16"/>
      <c r="BS92" s="17"/>
      <c r="BT92" s="17"/>
      <c r="BW92" s="20"/>
      <c r="BX92" s="20"/>
      <c r="BY92" s="20"/>
      <c r="CG92" s="20"/>
      <c r="CO92" s="27"/>
      <c r="CP92" s="17"/>
      <c r="CQ92" s="17"/>
    </row>
    <row r="93" customFormat="false" ht="15.75" hidden="false" customHeight="false" outlineLevel="0" collapsed="false">
      <c r="A93" s="12"/>
      <c r="B93" s="12"/>
      <c r="C93" s="12"/>
      <c r="F93" s="20"/>
      <c r="G93" s="20"/>
      <c r="H93" s="20"/>
      <c r="I93" s="20"/>
      <c r="J93" s="20"/>
      <c r="K93" s="20"/>
      <c r="L93" s="20"/>
      <c r="N93" s="20"/>
      <c r="Q93" s="20"/>
      <c r="R93" s="20"/>
      <c r="S93" s="20"/>
      <c r="T93" s="20"/>
      <c r="U93" s="20"/>
      <c r="X93" s="20"/>
      <c r="AB93" s="20"/>
      <c r="AC93" s="20"/>
      <c r="AD93" s="16"/>
      <c r="AF93" s="17"/>
      <c r="AG93" s="25"/>
      <c r="AH93" s="25"/>
      <c r="AI93" s="26"/>
      <c r="AJ93" s="16"/>
      <c r="AK93" s="16"/>
      <c r="AL93" s="16"/>
      <c r="AM93" s="20"/>
      <c r="AN93" s="16"/>
      <c r="AO93" s="16"/>
      <c r="AQ93" s="16"/>
      <c r="AS93" s="16"/>
      <c r="AU93" s="16"/>
      <c r="AW93" s="25"/>
      <c r="AX93" s="25"/>
      <c r="AY93" s="25"/>
      <c r="AZ93" s="25"/>
      <c r="BA93" s="25"/>
      <c r="BB93" s="16"/>
      <c r="BE93" s="25"/>
      <c r="BG93" s="20"/>
      <c r="BH93" s="16"/>
      <c r="BR93" s="16"/>
      <c r="BS93" s="17"/>
      <c r="BT93" s="17"/>
      <c r="BW93" s="20"/>
      <c r="BX93" s="20"/>
      <c r="BY93" s="20"/>
      <c r="CG93" s="20"/>
      <c r="CO93" s="27"/>
      <c r="CP93" s="17"/>
      <c r="CQ93" s="17"/>
    </row>
    <row r="94" customFormat="false" ht="15.75" hidden="false" customHeight="false" outlineLevel="0" collapsed="false">
      <c r="A94" s="12"/>
      <c r="B94" s="12"/>
      <c r="C94" s="12"/>
      <c r="F94" s="20"/>
      <c r="G94" s="20"/>
      <c r="H94" s="20"/>
      <c r="I94" s="20"/>
      <c r="J94" s="20"/>
      <c r="K94" s="20"/>
      <c r="L94" s="20"/>
      <c r="N94" s="20"/>
      <c r="Q94" s="20"/>
      <c r="R94" s="20"/>
      <c r="S94" s="20"/>
      <c r="T94" s="20"/>
      <c r="U94" s="20"/>
      <c r="X94" s="20"/>
      <c r="AB94" s="20"/>
      <c r="AC94" s="20"/>
      <c r="AD94" s="16"/>
      <c r="AF94" s="17"/>
      <c r="AG94" s="25"/>
      <c r="AH94" s="25"/>
      <c r="AI94" s="26"/>
      <c r="AJ94" s="16"/>
      <c r="AK94" s="16"/>
      <c r="AL94" s="16"/>
      <c r="AM94" s="20"/>
      <c r="AN94" s="16"/>
      <c r="AO94" s="16"/>
      <c r="AQ94" s="16"/>
      <c r="AS94" s="16"/>
      <c r="AU94" s="16"/>
      <c r="AW94" s="25"/>
      <c r="AX94" s="25"/>
      <c r="AY94" s="25"/>
      <c r="AZ94" s="25"/>
      <c r="BA94" s="25"/>
      <c r="BB94" s="16"/>
      <c r="BE94" s="25"/>
      <c r="BG94" s="20"/>
      <c r="BH94" s="16"/>
      <c r="BR94" s="16"/>
      <c r="BS94" s="17"/>
      <c r="BT94" s="17"/>
      <c r="BW94" s="20"/>
      <c r="BX94" s="20"/>
      <c r="BY94" s="20"/>
      <c r="CG94" s="20"/>
      <c r="CO94" s="27"/>
      <c r="CP94" s="17"/>
      <c r="CQ94" s="17"/>
    </row>
    <row r="95" customFormat="false" ht="15.75" hidden="false" customHeight="false" outlineLevel="0" collapsed="false">
      <c r="A95" s="12"/>
      <c r="B95" s="12"/>
      <c r="C95" s="12"/>
      <c r="F95" s="20"/>
      <c r="G95" s="20"/>
      <c r="H95" s="20"/>
      <c r="I95" s="20"/>
      <c r="J95" s="20"/>
      <c r="K95" s="20"/>
      <c r="L95" s="20"/>
      <c r="N95" s="20"/>
      <c r="Q95" s="20"/>
      <c r="R95" s="20"/>
      <c r="S95" s="20"/>
      <c r="T95" s="20"/>
      <c r="U95" s="20"/>
      <c r="X95" s="20"/>
      <c r="AB95" s="20"/>
      <c r="AC95" s="20"/>
      <c r="AD95" s="16"/>
      <c r="AF95" s="17"/>
      <c r="AG95" s="25"/>
      <c r="AH95" s="25"/>
      <c r="AI95" s="26"/>
      <c r="AJ95" s="16"/>
      <c r="AK95" s="16"/>
      <c r="AL95" s="16"/>
      <c r="AM95" s="20"/>
      <c r="AN95" s="16"/>
      <c r="AO95" s="16"/>
      <c r="AQ95" s="16"/>
      <c r="AS95" s="16"/>
      <c r="AU95" s="16"/>
      <c r="AW95" s="25"/>
      <c r="AX95" s="25"/>
      <c r="AY95" s="25"/>
      <c r="AZ95" s="25"/>
      <c r="BA95" s="25"/>
      <c r="BB95" s="16"/>
      <c r="BE95" s="25"/>
      <c r="BG95" s="20"/>
      <c r="BH95" s="16"/>
      <c r="BR95" s="16"/>
      <c r="BS95" s="17"/>
      <c r="BT95" s="17"/>
      <c r="BW95" s="20"/>
      <c r="BX95" s="20"/>
      <c r="BY95" s="20"/>
      <c r="CG95" s="20"/>
      <c r="CO95" s="27"/>
      <c r="CP95" s="17"/>
      <c r="CQ95" s="17"/>
    </row>
    <row r="96" customFormat="false" ht="15.75" hidden="false" customHeight="false" outlineLevel="0" collapsed="false">
      <c r="A96" s="12"/>
      <c r="B96" s="12"/>
      <c r="C96" s="12"/>
      <c r="F96" s="20"/>
      <c r="G96" s="20"/>
      <c r="H96" s="20"/>
      <c r="I96" s="20"/>
      <c r="J96" s="20"/>
      <c r="K96" s="20"/>
      <c r="L96" s="20"/>
      <c r="N96" s="20"/>
      <c r="Q96" s="20"/>
      <c r="R96" s="20"/>
      <c r="S96" s="20"/>
      <c r="T96" s="20"/>
      <c r="U96" s="20"/>
      <c r="X96" s="20"/>
      <c r="AB96" s="20"/>
      <c r="AC96" s="20"/>
      <c r="AD96" s="16"/>
      <c r="AF96" s="17"/>
      <c r="AG96" s="25"/>
      <c r="AH96" s="25"/>
      <c r="AI96" s="26"/>
      <c r="AJ96" s="16"/>
      <c r="AK96" s="16"/>
      <c r="AL96" s="16"/>
      <c r="AM96" s="20"/>
      <c r="AN96" s="16"/>
      <c r="AO96" s="16"/>
      <c r="AQ96" s="16"/>
      <c r="AS96" s="16"/>
      <c r="AU96" s="16"/>
      <c r="AW96" s="25"/>
      <c r="AX96" s="25"/>
      <c r="AY96" s="25"/>
      <c r="AZ96" s="25"/>
      <c r="BA96" s="25"/>
      <c r="BB96" s="16"/>
      <c r="BE96" s="25"/>
      <c r="BG96" s="20"/>
      <c r="BH96" s="16"/>
      <c r="BR96" s="16"/>
      <c r="BS96" s="17"/>
      <c r="BT96" s="17"/>
      <c r="BW96" s="20"/>
      <c r="BX96" s="20"/>
      <c r="BY96" s="20"/>
      <c r="CG96" s="20"/>
      <c r="CO96" s="27"/>
      <c r="CP96" s="17"/>
      <c r="CQ96" s="17"/>
    </row>
    <row r="97" customFormat="false" ht="15.75" hidden="false" customHeight="false" outlineLevel="0" collapsed="false">
      <c r="A97" s="12"/>
      <c r="B97" s="12"/>
      <c r="C97" s="12"/>
      <c r="F97" s="20"/>
      <c r="G97" s="20"/>
      <c r="H97" s="20"/>
      <c r="I97" s="20"/>
      <c r="J97" s="20"/>
      <c r="K97" s="20"/>
      <c r="L97" s="20"/>
      <c r="N97" s="20"/>
      <c r="Q97" s="20"/>
      <c r="R97" s="20"/>
      <c r="S97" s="20"/>
      <c r="T97" s="20"/>
      <c r="U97" s="20"/>
      <c r="X97" s="20"/>
      <c r="AB97" s="20"/>
      <c r="AC97" s="20"/>
      <c r="AD97" s="16"/>
      <c r="AF97" s="17"/>
      <c r="AG97" s="25"/>
      <c r="AH97" s="25"/>
      <c r="AI97" s="26"/>
      <c r="AJ97" s="16"/>
      <c r="AK97" s="16"/>
      <c r="AL97" s="16"/>
      <c r="AM97" s="20"/>
      <c r="AN97" s="16"/>
      <c r="AO97" s="16"/>
      <c r="AQ97" s="16"/>
      <c r="AS97" s="16"/>
      <c r="AU97" s="16"/>
      <c r="AW97" s="25"/>
      <c r="AX97" s="25"/>
      <c r="AY97" s="25"/>
      <c r="AZ97" s="25"/>
      <c r="BA97" s="25"/>
      <c r="BB97" s="16"/>
      <c r="BE97" s="25"/>
      <c r="BG97" s="20"/>
      <c r="BH97" s="16"/>
      <c r="BR97" s="16"/>
      <c r="BS97" s="17"/>
      <c r="BT97" s="17"/>
      <c r="BW97" s="20"/>
      <c r="BX97" s="20"/>
      <c r="BY97" s="20"/>
      <c r="CG97" s="20"/>
      <c r="CO97" s="27"/>
      <c r="CP97" s="17"/>
      <c r="CQ97" s="17"/>
    </row>
    <row r="98" customFormat="false" ht="15.75" hidden="false" customHeight="false" outlineLevel="0" collapsed="false">
      <c r="A98" s="12"/>
      <c r="B98" s="12"/>
      <c r="C98" s="12"/>
      <c r="F98" s="20"/>
      <c r="G98" s="20"/>
      <c r="H98" s="20"/>
      <c r="I98" s="20"/>
      <c r="J98" s="20"/>
      <c r="K98" s="20"/>
      <c r="L98" s="20"/>
      <c r="N98" s="20"/>
      <c r="Q98" s="20"/>
      <c r="R98" s="20"/>
      <c r="S98" s="20"/>
      <c r="T98" s="20"/>
      <c r="U98" s="20"/>
      <c r="X98" s="20"/>
      <c r="AB98" s="20"/>
      <c r="AC98" s="20"/>
      <c r="AD98" s="16"/>
      <c r="AF98" s="17"/>
      <c r="AG98" s="25"/>
      <c r="AH98" s="25"/>
      <c r="AI98" s="26"/>
      <c r="AJ98" s="16"/>
      <c r="AK98" s="16"/>
      <c r="AL98" s="16"/>
      <c r="AM98" s="20"/>
      <c r="AN98" s="16"/>
      <c r="AO98" s="16"/>
      <c r="AQ98" s="16"/>
      <c r="AS98" s="16"/>
      <c r="AU98" s="16"/>
      <c r="AW98" s="25"/>
      <c r="AX98" s="25"/>
      <c r="AY98" s="25"/>
      <c r="AZ98" s="25"/>
      <c r="BA98" s="25"/>
      <c r="BB98" s="16"/>
      <c r="BE98" s="25"/>
      <c r="BG98" s="20"/>
      <c r="BH98" s="16"/>
      <c r="BR98" s="16"/>
      <c r="BS98" s="17"/>
      <c r="BT98" s="17"/>
      <c r="BW98" s="20"/>
      <c r="BX98" s="20"/>
      <c r="BY98" s="20"/>
      <c r="CG98" s="20"/>
      <c r="CO98" s="27"/>
      <c r="CP98" s="17"/>
      <c r="CQ98" s="17"/>
    </row>
    <row r="99" customFormat="false" ht="15.75" hidden="false" customHeight="false" outlineLevel="0" collapsed="false">
      <c r="A99" s="12"/>
      <c r="B99" s="12"/>
      <c r="C99" s="12"/>
      <c r="F99" s="20"/>
      <c r="G99" s="20"/>
      <c r="H99" s="20"/>
      <c r="I99" s="20"/>
      <c r="J99" s="20"/>
      <c r="K99" s="20"/>
      <c r="L99" s="20"/>
      <c r="N99" s="20"/>
      <c r="Q99" s="20"/>
      <c r="R99" s="20"/>
      <c r="S99" s="20"/>
      <c r="T99" s="20"/>
      <c r="U99" s="20"/>
      <c r="X99" s="20"/>
      <c r="AB99" s="20"/>
      <c r="AC99" s="20"/>
      <c r="AD99" s="16"/>
      <c r="AF99" s="17"/>
      <c r="AG99" s="25"/>
      <c r="AH99" s="25"/>
      <c r="AI99" s="26"/>
      <c r="AJ99" s="16"/>
      <c r="AK99" s="16"/>
      <c r="AL99" s="16"/>
      <c r="AM99" s="20"/>
      <c r="AN99" s="16"/>
      <c r="AO99" s="16"/>
      <c r="AQ99" s="16"/>
      <c r="AS99" s="16"/>
      <c r="AU99" s="16"/>
      <c r="AW99" s="25"/>
      <c r="AX99" s="25"/>
      <c r="AY99" s="25"/>
      <c r="AZ99" s="25"/>
      <c r="BA99" s="25"/>
      <c r="BB99" s="16"/>
      <c r="BE99" s="25"/>
      <c r="BG99" s="20"/>
      <c r="BH99" s="16"/>
      <c r="BR99" s="16"/>
      <c r="BS99" s="17"/>
      <c r="BT99" s="17"/>
      <c r="BW99" s="20"/>
      <c r="BX99" s="20"/>
      <c r="BY99" s="20"/>
      <c r="CG99" s="20"/>
      <c r="CO99" s="27"/>
      <c r="CP99" s="17"/>
      <c r="CQ99" s="17"/>
    </row>
    <row r="100" customFormat="false" ht="15.75" hidden="false" customHeight="false" outlineLevel="0" collapsed="false">
      <c r="A100" s="12"/>
      <c r="B100" s="12"/>
      <c r="C100" s="12"/>
      <c r="F100" s="20"/>
      <c r="G100" s="20"/>
      <c r="H100" s="20"/>
      <c r="I100" s="20"/>
      <c r="J100" s="20"/>
      <c r="K100" s="20"/>
      <c r="L100" s="20"/>
      <c r="N100" s="20"/>
      <c r="Q100" s="20"/>
      <c r="R100" s="20"/>
      <c r="S100" s="20"/>
      <c r="T100" s="20"/>
      <c r="U100" s="20"/>
      <c r="X100" s="20"/>
      <c r="AB100" s="20"/>
      <c r="AC100" s="20"/>
      <c r="AD100" s="16"/>
      <c r="AF100" s="17"/>
      <c r="AG100" s="25"/>
      <c r="AH100" s="25"/>
      <c r="AI100" s="26"/>
      <c r="AJ100" s="16"/>
      <c r="AK100" s="16"/>
      <c r="AL100" s="16"/>
      <c r="AM100" s="20"/>
      <c r="AN100" s="16"/>
      <c r="AO100" s="16"/>
      <c r="AQ100" s="16"/>
      <c r="AS100" s="16"/>
      <c r="AU100" s="16"/>
      <c r="AW100" s="25"/>
      <c r="AX100" s="25"/>
      <c r="AY100" s="25"/>
      <c r="AZ100" s="25"/>
      <c r="BA100" s="25"/>
      <c r="BB100" s="16"/>
      <c r="BE100" s="25"/>
      <c r="BG100" s="20"/>
      <c r="BH100" s="16"/>
      <c r="BR100" s="16"/>
      <c r="BS100" s="17"/>
      <c r="BT100" s="17"/>
      <c r="BW100" s="20"/>
      <c r="BX100" s="20"/>
      <c r="BY100" s="20"/>
      <c r="CG100" s="20"/>
      <c r="CO100" s="27"/>
      <c r="CP100" s="17"/>
      <c r="CQ100" s="17"/>
    </row>
    <row r="101" customFormat="false" ht="15.75" hidden="false" customHeight="false" outlineLevel="0" collapsed="false">
      <c r="A101" s="12"/>
      <c r="B101" s="12"/>
      <c r="C101" s="12"/>
      <c r="F101" s="20"/>
      <c r="G101" s="20"/>
      <c r="H101" s="20"/>
      <c r="I101" s="20"/>
      <c r="J101" s="20"/>
      <c r="K101" s="20"/>
      <c r="L101" s="20"/>
      <c r="N101" s="20"/>
      <c r="Q101" s="20"/>
      <c r="R101" s="20"/>
      <c r="S101" s="20"/>
      <c r="T101" s="20"/>
      <c r="U101" s="20"/>
      <c r="X101" s="20"/>
      <c r="AB101" s="20"/>
      <c r="AC101" s="20"/>
      <c r="AD101" s="16"/>
      <c r="AF101" s="17"/>
      <c r="AG101" s="25"/>
      <c r="AH101" s="25"/>
      <c r="AI101" s="26"/>
      <c r="AJ101" s="16"/>
      <c r="AK101" s="16"/>
      <c r="AL101" s="16"/>
      <c r="AM101" s="20"/>
      <c r="AN101" s="16"/>
      <c r="AO101" s="16"/>
      <c r="AQ101" s="16"/>
      <c r="AS101" s="16"/>
      <c r="AU101" s="16"/>
      <c r="AW101" s="25"/>
      <c r="AX101" s="25"/>
      <c r="AY101" s="25"/>
      <c r="AZ101" s="25"/>
      <c r="BA101" s="25"/>
      <c r="BB101" s="16"/>
      <c r="BE101" s="25"/>
      <c r="BG101" s="20"/>
      <c r="BH101" s="16"/>
      <c r="BR101" s="16"/>
      <c r="BS101" s="17"/>
      <c r="BT101" s="17"/>
      <c r="BW101" s="20"/>
      <c r="BX101" s="20"/>
      <c r="BY101" s="20"/>
      <c r="CG101" s="20"/>
      <c r="CO101" s="27"/>
      <c r="CP101" s="17"/>
      <c r="CQ101" s="17"/>
    </row>
    <row r="102" customFormat="false" ht="15.75" hidden="false" customHeight="false" outlineLevel="0" collapsed="false">
      <c r="A102" s="12"/>
      <c r="B102" s="12"/>
      <c r="C102" s="12"/>
      <c r="F102" s="20"/>
      <c r="G102" s="20"/>
      <c r="H102" s="20"/>
      <c r="I102" s="20"/>
      <c r="J102" s="20"/>
      <c r="K102" s="20"/>
      <c r="L102" s="20"/>
      <c r="N102" s="20"/>
      <c r="Q102" s="20"/>
      <c r="R102" s="20"/>
      <c r="S102" s="20"/>
      <c r="T102" s="20"/>
      <c r="U102" s="20"/>
      <c r="X102" s="20"/>
      <c r="AB102" s="20"/>
      <c r="AC102" s="20"/>
      <c r="AD102" s="16"/>
      <c r="AF102" s="17"/>
      <c r="AG102" s="25"/>
      <c r="AH102" s="25"/>
      <c r="AI102" s="26"/>
      <c r="AJ102" s="16"/>
      <c r="AK102" s="16"/>
      <c r="AL102" s="16"/>
      <c r="AM102" s="20"/>
      <c r="AN102" s="16"/>
      <c r="AO102" s="16"/>
      <c r="AQ102" s="16"/>
      <c r="AS102" s="16"/>
      <c r="AU102" s="16"/>
      <c r="AW102" s="25"/>
      <c r="AX102" s="25"/>
      <c r="AY102" s="25"/>
      <c r="AZ102" s="25"/>
      <c r="BA102" s="25"/>
      <c r="BB102" s="16"/>
      <c r="BE102" s="25"/>
      <c r="BG102" s="20"/>
      <c r="BH102" s="16"/>
      <c r="BR102" s="16"/>
      <c r="BS102" s="17"/>
      <c r="BT102" s="17"/>
      <c r="BW102" s="20"/>
      <c r="BX102" s="20"/>
      <c r="BY102" s="20"/>
      <c r="CG102" s="20"/>
      <c r="CO102" s="27"/>
      <c r="CP102" s="17"/>
      <c r="CQ102" s="17"/>
    </row>
    <row r="103" customFormat="false" ht="15.75" hidden="false" customHeight="false" outlineLevel="0" collapsed="false">
      <c r="A103" s="12"/>
      <c r="B103" s="12"/>
      <c r="C103" s="12"/>
      <c r="F103" s="20"/>
      <c r="G103" s="20"/>
      <c r="H103" s="20"/>
      <c r="I103" s="20"/>
      <c r="J103" s="20"/>
      <c r="K103" s="20"/>
      <c r="L103" s="20"/>
      <c r="N103" s="20"/>
      <c r="Q103" s="20"/>
      <c r="R103" s="20"/>
      <c r="S103" s="20"/>
      <c r="T103" s="20"/>
      <c r="U103" s="20"/>
      <c r="X103" s="20"/>
      <c r="AB103" s="20"/>
      <c r="AC103" s="20"/>
      <c r="AD103" s="16"/>
      <c r="AF103" s="17"/>
      <c r="AG103" s="25"/>
      <c r="AH103" s="25"/>
      <c r="AI103" s="26"/>
      <c r="AJ103" s="16"/>
      <c r="AK103" s="16"/>
      <c r="AL103" s="16"/>
      <c r="AM103" s="20"/>
      <c r="AN103" s="16"/>
      <c r="AO103" s="16"/>
      <c r="AQ103" s="16"/>
      <c r="AS103" s="16"/>
      <c r="AU103" s="16"/>
      <c r="AW103" s="25"/>
      <c r="AX103" s="25"/>
      <c r="AY103" s="25"/>
      <c r="AZ103" s="25"/>
      <c r="BA103" s="25"/>
      <c r="BB103" s="16"/>
      <c r="BE103" s="25"/>
      <c r="BG103" s="20"/>
      <c r="BH103" s="16"/>
      <c r="BR103" s="16"/>
      <c r="BS103" s="17"/>
      <c r="BT103" s="17"/>
      <c r="BW103" s="20"/>
      <c r="BX103" s="20"/>
      <c r="BY103" s="20"/>
      <c r="CG103" s="20"/>
      <c r="CO103" s="27"/>
      <c r="CP103" s="17"/>
      <c r="CQ103" s="17"/>
    </row>
    <row r="104" customFormat="false" ht="15.75" hidden="false" customHeight="false" outlineLevel="0" collapsed="false">
      <c r="A104" s="12"/>
      <c r="B104" s="12"/>
      <c r="C104" s="12"/>
      <c r="F104" s="20"/>
      <c r="G104" s="20"/>
      <c r="H104" s="20"/>
      <c r="I104" s="20"/>
      <c r="J104" s="20"/>
      <c r="K104" s="20"/>
      <c r="L104" s="20"/>
      <c r="N104" s="20"/>
      <c r="Q104" s="20"/>
      <c r="R104" s="20"/>
      <c r="S104" s="20"/>
      <c r="T104" s="20"/>
      <c r="U104" s="20"/>
      <c r="X104" s="20"/>
      <c r="AB104" s="20"/>
      <c r="AC104" s="20"/>
      <c r="AD104" s="16"/>
      <c r="AF104" s="17"/>
      <c r="AG104" s="25"/>
      <c r="AH104" s="25"/>
      <c r="AI104" s="26"/>
      <c r="AJ104" s="16"/>
      <c r="AK104" s="16"/>
      <c r="AL104" s="16"/>
      <c r="AM104" s="20"/>
      <c r="AN104" s="16"/>
      <c r="AO104" s="16"/>
      <c r="AQ104" s="16"/>
      <c r="AS104" s="16"/>
      <c r="AU104" s="16"/>
      <c r="AW104" s="25"/>
      <c r="AX104" s="25"/>
      <c r="AY104" s="25"/>
      <c r="AZ104" s="25"/>
      <c r="BA104" s="25"/>
      <c r="BB104" s="16"/>
      <c r="BE104" s="25"/>
      <c r="BG104" s="20"/>
      <c r="BH104" s="16"/>
      <c r="BR104" s="16"/>
      <c r="BS104" s="17"/>
      <c r="BT104" s="17"/>
      <c r="BW104" s="20"/>
      <c r="BX104" s="20"/>
      <c r="BY104" s="20"/>
      <c r="CG104" s="20"/>
      <c r="CO104" s="27"/>
      <c r="CP104" s="17"/>
      <c r="CQ104" s="17"/>
    </row>
    <row r="105" customFormat="false" ht="15.75" hidden="false" customHeight="false" outlineLevel="0" collapsed="false">
      <c r="A105" s="12"/>
      <c r="B105" s="12"/>
      <c r="C105" s="12"/>
      <c r="F105" s="20"/>
      <c r="G105" s="20"/>
      <c r="H105" s="20"/>
      <c r="I105" s="20"/>
      <c r="J105" s="20"/>
      <c r="K105" s="20"/>
      <c r="L105" s="20"/>
      <c r="N105" s="20"/>
      <c r="Q105" s="20"/>
      <c r="R105" s="20"/>
      <c r="S105" s="20"/>
      <c r="T105" s="20"/>
      <c r="U105" s="20"/>
      <c r="X105" s="20"/>
      <c r="AB105" s="20"/>
      <c r="AC105" s="20"/>
      <c r="AD105" s="16"/>
      <c r="AF105" s="17"/>
      <c r="AG105" s="25"/>
      <c r="AH105" s="25"/>
      <c r="AI105" s="26"/>
      <c r="AJ105" s="16"/>
      <c r="AK105" s="16"/>
      <c r="AL105" s="16"/>
      <c r="AM105" s="20"/>
      <c r="AN105" s="16"/>
      <c r="AO105" s="16"/>
      <c r="AQ105" s="16"/>
      <c r="AS105" s="16"/>
      <c r="AU105" s="16"/>
      <c r="AW105" s="25"/>
      <c r="AX105" s="25"/>
      <c r="AY105" s="25"/>
      <c r="AZ105" s="25"/>
      <c r="BA105" s="25"/>
      <c r="BB105" s="16"/>
      <c r="BE105" s="25"/>
      <c r="BG105" s="20"/>
      <c r="BH105" s="16"/>
      <c r="BR105" s="16"/>
      <c r="BS105" s="17"/>
      <c r="BT105" s="17"/>
      <c r="BW105" s="20"/>
      <c r="BX105" s="20"/>
      <c r="BY105" s="20"/>
      <c r="CG105" s="20"/>
      <c r="CO105" s="27"/>
      <c r="CP105" s="17"/>
      <c r="CQ105" s="17"/>
    </row>
    <row r="106" customFormat="false" ht="15.75" hidden="false" customHeight="false" outlineLevel="0" collapsed="false">
      <c r="A106" s="12"/>
      <c r="B106" s="12"/>
      <c r="C106" s="12"/>
      <c r="F106" s="20"/>
      <c r="G106" s="20"/>
      <c r="H106" s="20"/>
      <c r="I106" s="20"/>
      <c r="J106" s="20"/>
      <c r="K106" s="20"/>
      <c r="L106" s="20"/>
      <c r="N106" s="20"/>
      <c r="Q106" s="20"/>
      <c r="R106" s="20"/>
      <c r="S106" s="20"/>
      <c r="T106" s="20"/>
      <c r="U106" s="20"/>
      <c r="X106" s="20"/>
      <c r="AB106" s="20"/>
      <c r="AC106" s="20"/>
      <c r="AD106" s="16"/>
      <c r="AF106" s="17"/>
      <c r="AG106" s="25"/>
      <c r="AH106" s="25"/>
      <c r="AI106" s="26"/>
      <c r="AJ106" s="16"/>
      <c r="AK106" s="16"/>
      <c r="AL106" s="16"/>
      <c r="AM106" s="20"/>
      <c r="AN106" s="16"/>
      <c r="AO106" s="16"/>
      <c r="AQ106" s="16"/>
      <c r="AS106" s="16"/>
      <c r="AU106" s="16"/>
      <c r="AW106" s="25"/>
      <c r="AX106" s="25"/>
      <c r="AY106" s="25"/>
      <c r="AZ106" s="25"/>
      <c r="BA106" s="25"/>
      <c r="BB106" s="16"/>
      <c r="BE106" s="25"/>
      <c r="BG106" s="20"/>
      <c r="BH106" s="16"/>
      <c r="BR106" s="16"/>
      <c r="BS106" s="17"/>
      <c r="BT106" s="17"/>
      <c r="BW106" s="20"/>
      <c r="BX106" s="20"/>
      <c r="BY106" s="20"/>
      <c r="CG106" s="20"/>
      <c r="CO106" s="27"/>
      <c r="CP106" s="17"/>
      <c r="CQ106" s="17"/>
    </row>
    <row r="107" customFormat="false" ht="15.75" hidden="false" customHeight="false" outlineLevel="0" collapsed="false">
      <c r="A107" s="12"/>
      <c r="B107" s="12"/>
      <c r="C107" s="12"/>
      <c r="F107" s="20"/>
      <c r="G107" s="20"/>
      <c r="H107" s="20"/>
      <c r="I107" s="20"/>
      <c r="J107" s="20"/>
      <c r="K107" s="20"/>
      <c r="L107" s="20"/>
      <c r="N107" s="20"/>
      <c r="Q107" s="20"/>
      <c r="R107" s="20"/>
      <c r="S107" s="20"/>
      <c r="T107" s="20"/>
      <c r="U107" s="20"/>
      <c r="X107" s="20"/>
      <c r="AB107" s="20"/>
      <c r="AC107" s="20"/>
      <c r="AD107" s="16"/>
      <c r="AF107" s="17"/>
      <c r="AG107" s="25"/>
      <c r="AH107" s="25"/>
      <c r="AI107" s="26"/>
      <c r="AJ107" s="16"/>
      <c r="AK107" s="16"/>
      <c r="AL107" s="16"/>
      <c r="AM107" s="20"/>
      <c r="AN107" s="16"/>
      <c r="AO107" s="16"/>
      <c r="AQ107" s="16"/>
      <c r="AS107" s="16"/>
      <c r="AU107" s="16"/>
      <c r="AW107" s="25"/>
      <c r="AX107" s="25"/>
      <c r="AY107" s="25"/>
      <c r="AZ107" s="25"/>
      <c r="BA107" s="25"/>
      <c r="BB107" s="16"/>
      <c r="BE107" s="25"/>
      <c r="BG107" s="20"/>
      <c r="BH107" s="16"/>
      <c r="BR107" s="16"/>
      <c r="BS107" s="17"/>
      <c r="BT107" s="17"/>
      <c r="BW107" s="20"/>
      <c r="BX107" s="20"/>
      <c r="BY107" s="20"/>
      <c r="CG107" s="20"/>
      <c r="CO107" s="27"/>
      <c r="CP107" s="17"/>
      <c r="CQ107" s="17"/>
    </row>
    <row r="108" customFormat="false" ht="15.75" hidden="false" customHeight="false" outlineLevel="0" collapsed="false">
      <c r="A108" s="12"/>
      <c r="B108" s="12"/>
      <c r="C108" s="12"/>
      <c r="F108" s="20"/>
      <c r="G108" s="20"/>
      <c r="H108" s="20"/>
      <c r="I108" s="20"/>
      <c r="J108" s="20"/>
      <c r="K108" s="20"/>
      <c r="L108" s="20"/>
      <c r="N108" s="20"/>
      <c r="Q108" s="20"/>
      <c r="R108" s="20"/>
      <c r="S108" s="20"/>
      <c r="T108" s="20"/>
      <c r="U108" s="20"/>
      <c r="X108" s="20"/>
      <c r="AB108" s="20"/>
      <c r="AC108" s="20"/>
      <c r="AD108" s="16"/>
      <c r="AF108" s="17"/>
      <c r="AG108" s="25"/>
      <c r="AH108" s="25"/>
      <c r="AI108" s="26"/>
      <c r="AJ108" s="16"/>
      <c r="AK108" s="16"/>
      <c r="AL108" s="16"/>
      <c r="AM108" s="20"/>
      <c r="AN108" s="16"/>
      <c r="AO108" s="16"/>
      <c r="AQ108" s="16"/>
      <c r="AS108" s="16"/>
      <c r="AU108" s="16"/>
      <c r="AW108" s="25"/>
      <c r="AX108" s="25"/>
      <c r="AY108" s="25"/>
      <c r="AZ108" s="25"/>
      <c r="BA108" s="25"/>
      <c r="BB108" s="16"/>
      <c r="BE108" s="25"/>
      <c r="BG108" s="20"/>
      <c r="BH108" s="16"/>
      <c r="BR108" s="16"/>
      <c r="BS108" s="17"/>
      <c r="BT108" s="17"/>
      <c r="BW108" s="20"/>
      <c r="BX108" s="20"/>
      <c r="BY108" s="20"/>
      <c r="CG108" s="20"/>
      <c r="CO108" s="27"/>
      <c r="CP108" s="17"/>
      <c r="CQ108" s="17"/>
    </row>
    <row r="109" customFormat="false" ht="15.75" hidden="false" customHeight="false" outlineLevel="0" collapsed="false">
      <c r="A109" s="12"/>
      <c r="B109" s="12"/>
      <c r="C109" s="12"/>
      <c r="F109" s="20"/>
      <c r="G109" s="20"/>
      <c r="H109" s="20"/>
      <c r="I109" s="20"/>
      <c r="J109" s="20"/>
      <c r="K109" s="20"/>
      <c r="L109" s="20"/>
      <c r="N109" s="20"/>
      <c r="Q109" s="20"/>
      <c r="R109" s="20"/>
      <c r="S109" s="20"/>
      <c r="T109" s="20"/>
      <c r="U109" s="20"/>
      <c r="X109" s="20"/>
      <c r="AB109" s="20"/>
      <c r="AC109" s="20"/>
      <c r="AD109" s="16"/>
      <c r="AF109" s="17"/>
      <c r="AG109" s="25"/>
      <c r="AH109" s="25"/>
      <c r="AI109" s="26"/>
      <c r="AJ109" s="16"/>
      <c r="AK109" s="16"/>
      <c r="AL109" s="16"/>
      <c r="AM109" s="20"/>
      <c r="AN109" s="16"/>
      <c r="AO109" s="16"/>
      <c r="AQ109" s="16"/>
      <c r="AS109" s="16"/>
      <c r="AU109" s="16"/>
      <c r="AW109" s="25"/>
      <c r="AX109" s="25"/>
      <c r="AY109" s="25"/>
      <c r="AZ109" s="25"/>
      <c r="BA109" s="25"/>
      <c r="BB109" s="16"/>
      <c r="BE109" s="25"/>
      <c r="BG109" s="20"/>
      <c r="BH109" s="16"/>
      <c r="BR109" s="16"/>
      <c r="BS109" s="17"/>
      <c r="BT109" s="17"/>
      <c r="BW109" s="20"/>
      <c r="BX109" s="20"/>
      <c r="BY109" s="20"/>
      <c r="CG109" s="20"/>
      <c r="CO109" s="27"/>
      <c r="CP109" s="17"/>
      <c r="CQ109" s="17"/>
    </row>
    <row r="110" customFormat="false" ht="15.75" hidden="false" customHeight="false" outlineLevel="0" collapsed="false">
      <c r="A110" s="12"/>
      <c r="B110" s="12"/>
      <c r="C110" s="12"/>
      <c r="F110" s="20"/>
      <c r="G110" s="20"/>
      <c r="H110" s="20"/>
      <c r="I110" s="20"/>
      <c r="J110" s="20"/>
      <c r="K110" s="20"/>
      <c r="L110" s="20"/>
      <c r="N110" s="20"/>
      <c r="Q110" s="20"/>
      <c r="R110" s="20"/>
      <c r="S110" s="20"/>
      <c r="T110" s="20"/>
      <c r="U110" s="20"/>
      <c r="X110" s="20"/>
      <c r="AB110" s="20"/>
      <c r="AC110" s="20"/>
      <c r="AD110" s="16"/>
      <c r="AF110" s="17"/>
      <c r="AG110" s="25"/>
      <c r="AH110" s="25"/>
      <c r="AI110" s="26"/>
      <c r="AJ110" s="16"/>
      <c r="AK110" s="16"/>
      <c r="AL110" s="16"/>
      <c r="AM110" s="20"/>
      <c r="AN110" s="16"/>
      <c r="AO110" s="16"/>
      <c r="AQ110" s="16"/>
      <c r="AS110" s="16"/>
      <c r="AU110" s="16"/>
      <c r="AW110" s="25"/>
      <c r="AX110" s="25"/>
      <c r="AY110" s="25"/>
      <c r="AZ110" s="25"/>
      <c r="BA110" s="25"/>
      <c r="BB110" s="16"/>
      <c r="BE110" s="25"/>
      <c r="BG110" s="20"/>
      <c r="BH110" s="16"/>
      <c r="BR110" s="16"/>
      <c r="BS110" s="17"/>
      <c r="BT110" s="17"/>
      <c r="BW110" s="20"/>
      <c r="BX110" s="20"/>
      <c r="BY110" s="20"/>
      <c r="CG110" s="20"/>
      <c r="CO110" s="27"/>
      <c r="CP110" s="17"/>
      <c r="CQ110" s="17"/>
    </row>
    <row r="111" customFormat="false" ht="15.75" hidden="false" customHeight="false" outlineLevel="0" collapsed="false">
      <c r="A111" s="12"/>
      <c r="B111" s="12"/>
      <c r="C111" s="12"/>
      <c r="F111" s="20"/>
      <c r="G111" s="20"/>
      <c r="H111" s="20"/>
      <c r="I111" s="20"/>
      <c r="J111" s="20"/>
      <c r="K111" s="20"/>
      <c r="L111" s="20"/>
      <c r="N111" s="20"/>
      <c r="Q111" s="20"/>
      <c r="R111" s="20"/>
      <c r="S111" s="20"/>
      <c r="T111" s="20"/>
      <c r="U111" s="20"/>
      <c r="X111" s="20"/>
      <c r="AB111" s="20"/>
      <c r="AC111" s="20"/>
      <c r="AD111" s="16"/>
      <c r="AF111" s="17"/>
      <c r="AG111" s="25"/>
      <c r="AH111" s="25"/>
      <c r="AI111" s="26"/>
      <c r="AJ111" s="16"/>
      <c r="AK111" s="16"/>
      <c r="AL111" s="16"/>
      <c r="AM111" s="20"/>
      <c r="AN111" s="16"/>
      <c r="AO111" s="16"/>
      <c r="AQ111" s="16"/>
      <c r="AS111" s="16"/>
      <c r="AU111" s="16"/>
      <c r="AW111" s="25"/>
      <c r="AX111" s="25"/>
      <c r="AY111" s="25"/>
      <c r="AZ111" s="25"/>
      <c r="BA111" s="25"/>
      <c r="BB111" s="16"/>
      <c r="BE111" s="25"/>
      <c r="BG111" s="20"/>
      <c r="BH111" s="16"/>
      <c r="BR111" s="16"/>
      <c r="BS111" s="17"/>
      <c r="BT111" s="17"/>
      <c r="BW111" s="20"/>
      <c r="BX111" s="20"/>
      <c r="BY111" s="20"/>
      <c r="CG111" s="20"/>
      <c r="CO111" s="27"/>
      <c r="CP111" s="17"/>
      <c r="CQ111" s="17"/>
    </row>
    <row r="112" customFormat="false" ht="15.75" hidden="false" customHeight="false" outlineLevel="0" collapsed="false">
      <c r="A112" s="12"/>
      <c r="B112" s="12"/>
      <c r="C112" s="12"/>
      <c r="F112" s="20"/>
      <c r="G112" s="20"/>
      <c r="H112" s="20"/>
      <c r="I112" s="20"/>
      <c r="J112" s="20"/>
      <c r="K112" s="20"/>
      <c r="L112" s="20"/>
      <c r="N112" s="20"/>
      <c r="Q112" s="20"/>
      <c r="R112" s="20"/>
      <c r="S112" s="20"/>
      <c r="T112" s="20"/>
      <c r="U112" s="20"/>
      <c r="X112" s="20"/>
      <c r="AB112" s="20"/>
      <c r="AC112" s="20"/>
      <c r="AD112" s="16"/>
      <c r="AF112" s="17"/>
      <c r="AG112" s="25"/>
      <c r="AH112" s="25"/>
      <c r="AI112" s="26"/>
      <c r="AJ112" s="16"/>
      <c r="AK112" s="16"/>
      <c r="AL112" s="16"/>
      <c r="AM112" s="20"/>
      <c r="AN112" s="16"/>
      <c r="AO112" s="16"/>
      <c r="AQ112" s="16"/>
      <c r="AS112" s="16"/>
      <c r="AU112" s="16"/>
      <c r="AW112" s="25"/>
      <c r="AX112" s="25"/>
      <c r="AY112" s="25"/>
      <c r="AZ112" s="25"/>
      <c r="BA112" s="25"/>
      <c r="BB112" s="16"/>
      <c r="BE112" s="25"/>
      <c r="BG112" s="20"/>
      <c r="BH112" s="16"/>
      <c r="BR112" s="16"/>
      <c r="BS112" s="17"/>
      <c r="BT112" s="17"/>
      <c r="BW112" s="20"/>
      <c r="BX112" s="20"/>
      <c r="BY112" s="20"/>
      <c r="CG112" s="20"/>
      <c r="CO112" s="27"/>
      <c r="CP112" s="17"/>
      <c r="CQ112" s="17"/>
    </row>
    <row r="113" customFormat="false" ht="15.75" hidden="false" customHeight="false" outlineLevel="0" collapsed="false">
      <c r="A113" s="12"/>
      <c r="B113" s="12"/>
      <c r="C113" s="12"/>
      <c r="F113" s="20"/>
      <c r="G113" s="20"/>
      <c r="H113" s="20"/>
      <c r="I113" s="20"/>
      <c r="J113" s="20"/>
      <c r="K113" s="20"/>
      <c r="L113" s="20"/>
      <c r="N113" s="20"/>
      <c r="Q113" s="20"/>
      <c r="R113" s="20"/>
      <c r="S113" s="20"/>
      <c r="T113" s="20"/>
      <c r="U113" s="20"/>
      <c r="X113" s="20"/>
      <c r="AB113" s="20"/>
      <c r="AC113" s="20"/>
      <c r="AD113" s="16"/>
      <c r="AF113" s="17"/>
      <c r="AG113" s="25"/>
      <c r="AH113" s="25"/>
      <c r="AI113" s="26"/>
      <c r="AJ113" s="16"/>
      <c r="AK113" s="16"/>
      <c r="AL113" s="16"/>
      <c r="AM113" s="20"/>
      <c r="AN113" s="16"/>
      <c r="AO113" s="16"/>
      <c r="AQ113" s="16"/>
      <c r="AS113" s="16"/>
      <c r="AU113" s="16"/>
      <c r="AW113" s="25"/>
      <c r="AX113" s="25"/>
      <c r="AY113" s="25"/>
      <c r="AZ113" s="25"/>
      <c r="BA113" s="25"/>
      <c r="BB113" s="16"/>
      <c r="BE113" s="25"/>
      <c r="BG113" s="20"/>
      <c r="BH113" s="16"/>
      <c r="BR113" s="16"/>
      <c r="BS113" s="17"/>
      <c r="BT113" s="17"/>
      <c r="BW113" s="20"/>
      <c r="BX113" s="20"/>
      <c r="BY113" s="20"/>
      <c r="CG113" s="20"/>
      <c r="CO113" s="27"/>
      <c r="CP113" s="17"/>
      <c r="CQ113" s="17"/>
    </row>
    <row r="114" customFormat="false" ht="15.75" hidden="false" customHeight="false" outlineLevel="0" collapsed="false">
      <c r="A114" s="12"/>
      <c r="B114" s="12"/>
      <c r="C114" s="12"/>
      <c r="F114" s="20"/>
      <c r="G114" s="20"/>
      <c r="H114" s="20"/>
      <c r="I114" s="20"/>
      <c r="J114" s="20"/>
      <c r="K114" s="20"/>
      <c r="L114" s="20"/>
      <c r="N114" s="20"/>
      <c r="Q114" s="20"/>
      <c r="R114" s="20"/>
      <c r="S114" s="20"/>
      <c r="T114" s="20"/>
      <c r="U114" s="20"/>
      <c r="X114" s="20"/>
      <c r="AB114" s="20"/>
      <c r="AC114" s="20"/>
      <c r="AD114" s="16"/>
      <c r="AF114" s="17"/>
      <c r="AG114" s="25"/>
      <c r="AH114" s="25"/>
      <c r="AI114" s="26"/>
      <c r="AJ114" s="16"/>
      <c r="AK114" s="16"/>
      <c r="AL114" s="16"/>
      <c r="AM114" s="20"/>
      <c r="AN114" s="16"/>
      <c r="AO114" s="16"/>
      <c r="AQ114" s="16"/>
      <c r="AS114" s="16"/>
      <c r="AU114" s="16"/>
      <c r="AW114" s="25"/>
      <c r="AX114" s="25"/>
      <c r="AY114" s="25"/>
      <c r="AZ114" s="25"/>
      <c r="BA114" s="25"/>
      <c r="BB114" s="16"/>
      <c r="BE114" s="25"/>
      <c r="BG114" s="20"/>
      <c r="BH114" s="16"/>
      <c r="BR114" s="16"/>
      <c r="BS114" s="17"/>
      <c r="BT114" s="17"/>
      <c r="BW114" s="20"/>
      <c r="BX114" s="20"/>
      <c r="BY114" s="20"/>
      <c r="CG114" s="20"/>
      <c r="CO114" s="27"/>
      <c r="CP114" s="17"/>
      <c r="CQ114" s="17"/>
    </row>
    <row r="115" customFormat="false" ht="15.75" hidden="false" customHeight="false" outlineLevel="0" collapsed="false">
      <c r="A115" s="12"/>
      <c r="B115" s="12"/>
      <c r="C115" s="12"/>
      <c r="F115" s="20"/>
      <c r="G115" s="20"/>
      <c r="H115" s="20"/>
      <c r="I115" s="20"/>
      <c r="J115" s="20"/>
      <c r="K115" s="20"/>
      <c r="L115" s="20"/>
      <c r="N115" s="20"/>
      <c r="Q115" s="20"/>
      <c r="R115" s="20"/>
      <c r="S115" s="20"/>
      <c r="T115" s="20"/>
      <c r="U115" s="20"/>
      <c r="X115" s="20"/>
      <c r="AB115" s="20"/>
      <c r="AC115" s="20"/>
      <c r="AD115" s="16"/>
      <c r="AF115" s="17"/>
      <c r="AG115" s="25"/>
      <c r="AH115" s="25"/>
      <c r="AI115" s="26"/>
      <c r="AJ115" s="16"/>
      <c r="AK115" s="16"/>
      <c r="AL115" s="16"/>
      <c r="AM115" s="20"/>
      <c r="AN115" s="16"/>
      <c r="AO115" s="16"/>
      <c r="AQ115" s="16"/>
      <c r="AS115" s="16"/>
      <c r="AU115" s="16"/>
      <c r="AW115" s="25"/>
      <c r="AX115" s="25"/>
      <c r="AY115" s="25"/>
      <c r="AZ115" s="25"/>
      <c r="BA115" s="25"/>
      <c r="BB115" s="16"/>
      <c r="BE115" s="25"/>
      <c r="BG115" s="20"/>
      <c r="BH115" s="16"/>
      <c r="BR115" s="16"/>
      <c r="BS115" s="17"/>
      <c r="BT115" s="17"/>
      <c r="BW115" s="20"/>
      <c r="BX115" s="20"/>
      <c r="BY115" s="20"/>
      <c r="CG115" s="20"/>
      <c r="CO115" s="27"/>
      <c r="CP115" s="17"/>
      <c r="CQ115" s="17"/>
    </row>
    <row r="116" customFormat="false" ht="15.75" hidden="false" customHeight="false" outlineLevel="0" collapsed="false">
      <c r="A116" s="12"/>
      <c r="B116" s="12"/>
      <c r="C116" s="12"/>
      <c r="F116" s="20"/>
      <c r="G116" s="20"/>
      <c r="H116" s="20"/>
      <c r="I116" s="20"/>
      <c r="J116" s="20"/>
      <c r="K116" s="20"/>
      <c r="L116" s="20"/>
      <c r="N116" s="20"/>
      <c r="Q116" s="20"/>
      <c r="R116" s="20"/>
      <c r="S116" s="20"/>
      <c r="T116" s="20"/>
      <c r="U116" s="20"/>
      <c r="X116" s="20"/>
      <c r="AB116" s="20"/>
      <c r="AC116" s="20"/>
      <c r="AD116" s="16"/>
      <c r="AF116" s="17"/>
      <c r="AG116" s="25"/>
      <c r="AH116" s="25"/>
      <c r="AI116" s="26"/>
      <c r="AJ116" s="16"/>
      <c r="AK116" s="16"/>
      <c r="AL116" s="16"/>
      <c r="AM116" s="20"/>
      <c r="AN116" s="16"/>
      <c r="AO116" s="16"/>
      <c r="AQ116" s="16"/>
      <c r="AS116" s="16"/>
      <c r="AU116" s="16"/>
      <c r="AW116" s="25"/>
      <c r="AX116" s="25"/>
      <c r="AY116" s="25"/>
      <c r="AZ116" s="25"/>
      <c r="BA116" s="25"/>
      <c r="BB116" s="16"/>
      <c r="BE116" s="25"/>
      <c r="BG116" s="20"/>
      <c r="BH116" s="16"/>
      <c r="BR116" s="16"/>
      <c r="BS116" s="17"/>
      <c r="BT116" s="17"/>
      <c r="BW116" s="20"/>
      <c r="BX116" s="20"/>
      <c r="BY116" s="20"/>
      <c r="CG116" s="20"/>
      <c r="CO116" s="27"/>
      <c r="CP116" s="17"/>
      <c r="CQ116" s="17"/>
    </row>
    <row r="117" customFormat="false" ht="15.75" hidden="false" customHeight="false" outlineLevel="0" collapsed="false">
      <c r="A117" s="12"/>
      <c r="B117" s="12"/>
      <c r="C117" s="12"/>
      <c r="F117" s="20"/>
      <c r="G117" s="20"/>
      <c r="H117" s="20"/>
      <c r="I117" s="20"/>
      <c r="J117" s="20"/>
      <c r="K117" s="20"/>
      <c r="L117" s="20"/>
      <c r="N117" s="20"/>
      <c r="Q117" s="20"/>
      <c r="R117" s="20"/>
      <c r="S117" s="20"/>
      <c r="T117" s="20"/>
      <c r="U117" s="20"/>
      <c r="X117" s="20"/>
      <c r="AB117" s="20"/>
      <c r="AC117" s="20"/>
      <c r="AD117" s="16"/>
      <c r="AF117" s="17"/>
      <c r="AG117" s="25"/>
      <c r="AH117" s="25"/>
      <c r="AI117" s="26"/>
      <c r="AJ117" s="16"/>
      <c r="AK117" s="16"/>
      <c r="AL117" s="16"/>
      <c r="AM117" s="20"/>
      <c r="AN117" s="16"/>
      <c r="AO117" s="16"/>
      <c r="AQ117" s="16"/>
      <c r="AS117" s="16"/>
      <c r="AU117" s="16"/>
      <c r="AW117" s="25"/>
      <c r="AX117" s="25"/>
      <c r="AY117" s="25"/>
      <c r="AZ117" s="25"/>
      <c r="BA117" s="25"/>
      <c r="BB117" s="16"/>
      <c r="BE117" s="25"/>
      <c r="BG117" s="20"/>
      <c r="BH117" s="16"/>
      <c r="BR117" s="16"/>
      <c r="BS117" s="17"/>
      <c r="BT117" s="17"/>
      <c r="BW117" s="20"/>
      <c r="BX117" s="20"/>
      <c r="BY117" s="20"/>
      <c r="CG117" s="20"/>
      <c r="CO117" s="27"/>
      <c r="CP117" s="17"/>
      <c r="CQ117" s="17"/>
    </row>
    <row r="118" customFormat="false" ht="15.75" hidden="false" customHeight="false" outlineLevel="0" collapsed="false">
      <c r="A118" s="12"/>
      <c r="B118" s="12"/>
      <c r="C118" s="12"/>
      <c r="F118" s="20"/>
      <c r="G118" s="20"/>
      <c r="H118" s="20"/>
      <c r="I118" s="20"/>
      <c r="J118" s="20"/>
      <c r="K118" s="20"/>
      <c r="L118" s="20"/>
      <c r="N118" s="20"/>
      <c r="Q118" s="20"/>
      <c r="R118" s="20"/>
      <c r="S118" s="20"/>
      <c r="T118" s="20"/>
      <c r="U118" s="20"/>
      <c r="X118" s="20"/>
      <c r="AB118" s="20"/>
      <c r="AC118" s="20"/>
      <c r="AD118" s="16"/>
      <c r="AF118" s="17"/>
      <c r="AG118" s="25"/>
      <c r="AH118" s="25"/>
      <c r="AI118" s="26"/>
      <c r="AJ118" s="16"/>
      <c r="AK118" s="16"/>
      <c r="AL118" s="16"/>
      <c r="AM118" s="20"/>
      <c r="AN118" s="16"/>
      <c r="AO118" s="16"/>
      <c r="AQ118" s="16"/>
      <c r="AS118" s="16"/>
      <c r="AU118" s="16"/>
      <c r="AW118" s="25"/>
      <c r="AX118" s="25"/>
      <c r="AY118" s="25"/>
      <c r="AZ118" s="25"/>
      <c r="BA118" s="25"/>
      <c r="BB118" s="16"/>
      <c r="BE118" s="25"/>
      <c r="BG118" s="20"/>
      <c r="BH118" s="16"/>
      <c r="BR118" s="16"/>
      <c r="BS118" s="17"/>
      <c r="BT118" s="17"/>
      <c r="BW118" s="20"/>
      <c r="BX118" s="20"/>
      <c r="BY118" s="20"/>
      <c r="CG118" s="20"/>
      <c r="CO118" s="27"/>
      <c r="CP118" s="17"/>
      <c r="CQ118" s="17"/>
    </row>
    <row r="119" customFormat="false" ht="15.75" hidden="false" customHeight="false" outlineLevel="0" collapsed="false">
      <c r="A119" s="12"/>
      <c r="B119" s="12"/>
      <c r="C119" s="12"/>
      <c r="F119" s="20"/>
      <c r="G119" s="20"/>
      <c r="H119" s="20"/>
      <c r="I119" s="20"/>
      <c r="J119" s="20"/>
      <c r="K119" s="20"/>
      <c r="L119" s="20"/>
      <c r="N119" s="20"/>
      <c r="Q119" s="20"/>
      <c r="R119" s="20"/>
      <c r="S119" s="20"/>
      <c r="T119" s="20"/>
      <c r="U119" s="20"/>
      <c r="X119" s="20"/>
      <c r="AB119" s="20"/>
      <c r="AC119" s="20"/>
      <c r="AD119" s="16"/>
      <c r="AF119" s="17"/>
      <c r="AG119" s="25"/>
      <c r="AH119" s="25"/>
      <c r="AI119" s="26"/>
      <c r="AJ119" s="16"/>
      <c r="AK119" s="16"/>
      <c r="AL119" s="16"/>
      <c r="AM119" s="20"/>
      <c r="AN119" s="16"/>
      <c r="AO119" s="16"/>
      <c r="AQ119" s="16"/>
      <c r="AS119" s="16"/>
      <c r="AU119" s="16"/>
      <c r="AW119" s="25"/>
      <c r="AX119" s="25"/>
      <c r="AY119" s="25"/>
      <c r="AZ119" s="25"/>
      <c r="BA119" s="25"/>
      <c r="BB119" s="16"/>
      <c r="BE119" s="25"/>
      <c r="BG119" s="20"/>
      <c r="BH119" s="16"/>
      <c r="BR119" s="16"/>
      <c r="BS119" s="17"/>
      <c r="BT119" s="17"/>
      <c r="BW119" s="20"/>
      <c r="BX119" s="20"/>
      <c r="BY119" s="20"/>
      <c r="CG119" s="20"/>
      <c r="CO119" s="27"/>
      <c r="CP119" s="17"/>
      <c r="CQ119" s="17"/>
    </row>
    <row r="120" customFormat="false" ht="15.75" hidden="false" customHeight="false" outlineLevel="0" collapsed="false">
      <c r="A120" s="12"/>
      <c r="B120" s="12"/>
      <c r="C120" s="12"/>
      <c r="F120" s="20"/>
      <c r="G120" s="20"/>
      <c r="H120" s="20"/>
      <c r="I120" s="20"/>
      <c r="J120" s="20"/>
      <c r="K120" s="20"/>
      <c r="L120" s="20"/>
      <c r="N120" s="20"/>
      <c r="Q120" s="20"/>
      <c r="R120" s="20"/>
      <c r="S120" s="20"/>
      <c r="T120" s="20"/>
      <c r="U120" s="20"/>
      <c r="X120" s="20"/>
      <c r="AB120" s="20"/>
      <c r="AC120" s="20"/>
      <c r="AD120" s="16"/>
      <c r="AF120" s="17"/>
      <c r="AG120" s="25"/>
      <c r="AH120" s="25"/>
      <c r="AI120" s="26"/>
      <c r="AJ120" s="16"/>
      <c r="AK120" s="16"/>
      <c r="AL120" s="16"/>
      <c r="AM120" s="20"/>
      <c r="AN120" s="16"/>
      <c r="AO120" s="16"/>
      <c r="AQ120" s="16"/>
      <c r="AS120" s="16"/>
      <c r="AU120" s="16"/>
      <c r="AW120" s="25"/>
      <c r="AX120" s="25"/>
      <c r="AY120" s="25"/>
      <c r="AZ120" s="25"/>
      <c r="BA120" s="25"/>
      <c r="BB120" s="16"/>
      <c r="BE120" s="25"/>
      <c r="BG120" s="20"/>
      <c r="BH120" s="16"/>
      <c r="BR120" s="16"/>
      <c r="BS120" s="17"/>
      <c r="BT120" s="17"/>
      <c r="BW120" s="20"/>
      <c r="BX120" s="20"/>
      <c r="BY120" s="20"/>
      <c r="CG120" s="20"/>
      <c r="CO120" s="27"/>
      <c r="CP120" s="17"/>
      <c r="CQ120" s="17"/>
    </row>
    <row r="121" customFormat="false" ht="15.75" hidden="false" customHeight="false" outlineLevel="0" collapsed="false">
      <c r="A121" s="12"/>
      <c r="B121" s="12"/>
      <c r="C121" s="12"/>
      <c r="F121" s="20"/>
      <c r="G121" s="20"/>
      <c r="H121" s="20"/>
      <c r="I121" s="20"/>
      <c r="J121" s="20"/>
      <c r="K121" s="20"/>
      <c r="L121" s="20"/>
      <c r="N121" s="20"/>
      <c r="Q121" s="20"/>
      <c r="R121" s="20"/>
      <c r="S121" s="20"/>
      <c r="T121" s="20"/>
      <c r="U121" s="20"/>
      <c r="X121" s="20"/>
      <c r="AB121" s="20"/>
      <c r="AC121" s="20"/>
      <c r="AD121" s="16"/>
      <c r="AF121" s="17"/>
      <c r="AG121" s="25"/>
      <c r="AH121" s="25"/>
      <c r="AI121" s="26"/>
      <c r="AJ121" s="16"/>
      <c r="AK121" s="16"/>
      <c r="AL121" s="16"/>
      <c r="AM121" s="20"/>
      <c r="AN121" s="16"/>
      <c r="AO121" s="16"/>
      <c r="AQ121" s="16"/>
      <c r="AS121" s="16"/>
      <c r="AU121" s="16"/>
      <c r="AW121" s="25"/>
      <c r="AX121" s="25"/>
      <c r="AY121" s="25"/>
      <c r="AZ121" s="25"/>
      <c r="BA121" s="25"/>
      <c r="BB121" s="16"/>
      <c r="BE121" s="25"/>
      <c r="BG121" s="20"/>
      <c r="BH121" s="16"/>
      <c r="BR121" s="16"/>
      <c r="BS121" s="17"/>
      <c r="BT121" s="17"/>
      <c r="BW121" s="20"/>
      <c r="BX121" s="20"/>
      <c r="BY121" s="20"/>
      <c r="CG121" s="20"/>
      <c r="CO121" s="27"/>
      <c r="CP121" s="17"/>
      <c r="CQ121" s="17"/>
    </row>
    <row r="122" customFormat="false" ht="15.75" hidden="false" customHeight="false" outlineLevel="0" collapsed="false">
      <c r="A122" s="12"/>
      <c r="B122" s="12"/>
      <c r="C122" s="12"/>
      <c r="F122" s="20"/>
      <c r="G122" s="20"/>
      <c r="H122" s="20"/>
      <c r="I122" s="20"/>
      <c r="J122" s="20"/>
      <c r="K122" s="20"/>
      <c r="L122" s="20"/>
      <c r="N122" s="20"/>
      <c r="Q122" s="20"/>
      <c r="R122" s="20"/>
      <c r="S122" s="20"/>
      <c r="T122" s="20"/>
      <c r="U122" s="20"/>
      <c r="X122" s="20"/>
      <c r="AB122" s="20"/>
      <c r="AC122" s="20"/>
      <c r="AD122" s="16"/>
      <c r="AF122" s="17"/>
      <c r="AG122" s="25"/>
      <c r="AH122" s="25"/>
      <c r="AI122" s="26"/>
      <c r="AJ122" s="16"/>
      <c r="AK122" s="16"/>
      <c r="AL122" s="16"/>
      <c r="AM122" s="20"/>
      <c r="AN122" s="16"/>
      <c r="AO122" s="16"/>
      <c r="AQ122" s="16"/>
      <c r="AS122" s="16"/>
      <c r="AU122" s="16"/>
      <c r="AW122" s="25"/>
      <c r="AX122" s="25"/>
      <c r="AY122" s="25"/>
      <c r="AZ122" s="25"/>
      <c r="BA122" s="25"/>
      <c r="BB122" s="16"/>
      <c r="BE122" s="25"/>
      <c r="BG122" s="20"/>
      <c r="BH122" s="16"/>
      <c r="BR122" s="16"/>
      <c r="BS122" s="17"/>
      <c r="BT122" s="17"/>
      <c r="BW122" s="20"/>
      <c r="BX122" s="20"/>
      <c r="BY122" s="20"/>
      <c r="CG122" s="20"/>
      <c r="CO122" s="27"/>
      <c r="CP122" s="17"/>
      <c r="CQ122" s="17"/>
    </row>
    <row r="123" customFormat="false" ht="15.75" hidden="false" customHeight="false" outlineLevel="0" collapsed="false">
      <c r="A123" s="12"/>
      <c r="B123" s="12"/>
      <c r="C123" s="12"/>
      <c r="F123" s="20"/>
      <c r="G123" s="20"/>
      <c r="H123" s="20"/>
      <c r="I123" s="20"/>
      <c r="J123" s="20"/>
      <c r="K123" s="20"/>
      <c r="L123" s="20"/>
      <c r="N123" s="20"/>
      <c r="Q123" s="20"/>
      <c r="R123" s="20"/>
      <c r="S123" s="20"/>
      <c r="T123" s="20"/>
      <c r="U123" s="20"/>
      <c r="X123" s="20"/>
      <c r="AB123" s="20"/>
      <c r="AC123" s="20"/>
      <c r="AD123" s="16"/>
      <c r="AF123" s="17"/>
      <c r="AG123" s="25"/>
      <c r="AH123" s="25"/>
      <c r="AI123" s="26"/>
      <c r="AJ123" s="16"/>
      <c r="AK123" s="16"/>
      <c r="AL123" s="16"/>
      <c r="AM123" s="20"/>
      <c r="AN123" s="16"/>
      <c r="AO123" s="16"/>
      <c r="AQ123" s="16"/>
      <c r="AS123" s="16"/>
      <c r="AU123" s="16"/>
      <c r="AW123" s="25"/>
      <c r="AX123" s="25"/>
      <c r="AY123" s="25"/>
      <c r="AZ123" s="25"/>
      <c r="BA123" s="25"/>
      <c r="BB123" s="16"/>
      <c r="BE123" s="25"/>
      <c r="BG123" s="20"/>
      <c r="BH123" s="16"/>
      <c r="BR123" s="16"/>
      <c r="BS123" s="17"/>
      <c r="BT123" s="17"/>
      <c r="BW123" s="20"/>
      <c r="BX123" s="20"/>
      <c r="BY123" s="20"/>
      <c r="CG123" s="20"/>
      <c r="CO123" s="27"/>
      <c r="CP123" s="17"/>
      <c r="CQ123" s="17"/>
    </row>
    <row r="124" customFormat="false" ht="15.75" hidden="false" customHeight="false" outlineLevel="0" collapsed="false">
      <c r="A124" s="12"/>
      <c r="B124" s="12"/>
      <c r="C124" s="12"/>
      <c r="F124" s="20"/>
      <c r="G124" s="20"/>
      <c r="H124" s="20"/>
      <c r="I124" s="20"/>
      <c r="J124" s="20"/>
      <c r="K124" s="20"/>
      <c r="L124" s="20"/>
      <c r="N124" s="20"/>
      <c r="Q124" s="20"/>
      <c r="R124" s="20"/>
      <c r="S124" s="20"/>
      <c r="T124" s="20"/>
      <c r="U124" s="20"/>
      <c r="X124" s="20"/>
      <c r="AB124" s="20"/>
      <c r="AC124" s="20"/>
      <c r="AD124" s="16"/>
      <c r="AF124" s="17"/>
      <c r="AG124" s="25"/>
      <c r="AH124" s="25"/>
      <c r="AI124" s="26"/>
      <c r="AJ124" s="16"/>
      <c r="AK124" s="16"/>
      <c r="AL124" s="16"/>
      <c r="AM124" s="20"/>
      <c r="AN124" s="16"/>
      <c r="AO124" s="16"/>
      <c r="AQ124" s="16"/>
      <c r="AS124" s="16"/>
      <c r="AU124" s="16"/>
      <c r="AW124" s="25"/>
      <c r="AX124" s="25"/>
      <c r="AY124" s="25"/>
      <c r="AZ124" s="25"/>
      <c r="BA124" s="25"/>
      <c r="BB124" s="16"/>
      <c r="BE124" s="25"/>
      <c r="BG124" s="20"/>
      <c r="BH124" s="16"/>
      <c r="BR124" s="16"/>
      <c r="BS124" s="17"/>
      <c r="BT124" s="17"/>
      <c r="BW124" s="20"/>
      <c r="BX124" s="20"/>
      <c r="BY124" s="20"/>
      <c r="CG124" s="20"/>
      <c r="CO124" s="27"/>
      <c r="CP124" s="17"/>
      <c r="CQ124" s="17"/>
    </row>
    <row r="125" customFormat="false" ht="15.75" hidden="false" customHeight="false" outlineLevel="0" collapsed="false">
      <c r="A125" s="12"/>
      <c r="B125" s="12"/>
      <c r="C125" s="12"/>
      <c r="F125" s="20"/>
      <c r="G125" s="20"/>
      <c r="H125" s="20"/>
      <c r="I125" s="20"/>
      <c r="J125" s="20"/>
      <c r="K125" s="20"/>
      <c r="L125" s="20"/>
      <c r="N125" s="20"/>
      <c r="Q125" s="20"/>
      <c r="R125" s="20"/>
      <c r="S125" s="20"/>
      <c r="T125" s="20"/>
      <c r="U125" s="20"/>
      <c r="X125" s="20"/>
      <c r="AB125" s="20"/>
      <c r="AC125" s="20"/>
      <c r="AD125" s="16"/>
      <c r="AF125" s="17"/>
      <c r="AG125" s="25"/>
      <c r="AH125" s="25"/>
      <c r="AI125" s="26"/>
      <c r="AJ125" s="16"/>
      <c r="AK125" s="16"/>
      <c r="AL125" s="16"/>
      <c r="AM125" s="20"/>
      <c r="AN125" s="16"/>
      <c r="AO125" s="16"/>
      <c r="AQ125" s="16"/>
      <c r="AS125" s="16"/>
      <c r="AU125" s="16"/>
      <c r="AW125" s="25"/>
      <c r="AX125" s="25"/>
      <c r="AY125" s="25"/>
      <c r="AZ125" s="25"/>
      <c r="BA125" s="25"/>
      <c r="BB125" s="16"/>
      <c r="BE125" s="25"/>
      <c r="BG125" s="20"/>
      <c r="BH125" s="16"/>
      <c r="BR125" s="16"/>
      <c r="BS125" s="17"/>
      <c r="BT125" s="17"/>
      <c r="BW125" s="20"/>
      <c r="BX125" s="20"/>
      <c r="BY125" s="20"/>
      <c r="CG125" s="20"/>
      <c r="CO125" s="27"/>
      <c r="CP125" s="17"/>
      <c r="CQ125" s="17"/>
    </row>
    <row r="126" customFormat="false" ht="15.75" hidden="false" customHeight="false" outlineLevel="0" collapsed="false">
      <c r="A126" s="12"/>
      <c r="B126" s="12"/>
      <c r="C126" s="12"/>
      <c r="F126" s="20"/>
      <c r="G126" s="20"/>
      <c r="H126" s="20"/>
      <c r="I126" s="20"/>
      <c r="J126" s="20"/>
      <c r="K126" s="20"/>
      <c r="L126" s="20"/>
      <c r="N126" s="20"/>
      <c r="Q126" s="20"/>
      <c r="R126" s="20"/>
      <c r="S126" s="20"/>
      <c r="T126" s="20"/>
      <c r="U126" s="20"/>
      <c r="X126" s="20"/>
      <c r="AB126" s="20"/>
      <c r="AC126" s="20"/>
      <c r="AD126" s="16"/>
      <c r="AF126" s="17"/>
      <c r="AG126" s="25"/>
      <c r="AH126" s="25"/>
      <c r="AI126" s="26"/>
      <c r="AJ126" s="16"/>
      <c r="AK126" s="16"/>
      <c r="AL126" s="16"/>
      <c r="AM126" s="20"/>
      <c r="AN126" s="16"/>
      <c r="AO126" s="16"/>
      <c r="AQ126" s="16"/>
      <c r="AS126" s="16"/>
      <c r="AU126" s="16"/>
      <c r="AW126" s="25"/>
      <c r="AX126" s="25"/>
      <c r="AY126" s="25"/>
      <c r="AZ126" s="25"/>
      <c r="BA126" s="25"/>
      <c r="BB126" s="16"/>
      <c r="BE126" s="25"/>
      <c r="BG126" s="20"/>
      <c r="BH126" s="16"/>
      <c r="BR126" s="16"/>
      <c r="BS126" s="17"/>
      <c r="BT126" s="17"/>
      <c r="BW126" s="20"/>
      <c r="BX126" s="20"/>
      <c r="BY126" s="20"/>
      <c r="CG126" s="20"/>
      <c r="CO126" s="27"/>
      <c r="CP126" s="17"/>
      <c r="CQ126" s="17"/>
    </row>
    <row r="127" customFormat="false" ht="15.75" hidden="false" customHeight="false" outlineLevel="0" collapsed="false">
      <c r="A127" s="12"/>
      <c r="B127" s="12"/>
      <c r="C127" s="12"/>
      <c r="F127" s="20"/>
      <c r="G127" s="20"/>
      <c r="H127" s="20"/>
      <c r="I127" s="20"/>
      <c r="J127" s="20"/>
      <c r="K127" s="20"/>
      <c r="L127" s="20"/>
      <c r="N127" s="20"/>
      <c r="Q127" s="20"/>
      <c r="R127" s="20"/>
      <c r="S127" s="20"/>
      <c r="T127" s="20"/>
      <c r="U127" s="20"/>
      <c r="X127" s="20"/>
      <c r="AB127" s="20"/>
      <c r="AC127" s="20"/>
      <c r="AD127" s="16"/>
      <c r="AF127" s="17"/>
      <c r="AG127" s="25"/>
      <c r="AH127" s="25"/>
      <c r="AI127" s="26"/>
      <c r="AJ127" s="16"/>
      <c r="AK127" s="16"/>
      <c r="AL127" s="16"/>
      <c r="AM127" s="20"/>
      <c r="AN127" s="16"/>
      <c r="AO127" s="16"/>
      <c r="AQ127" s="16"/>
      <c r="AS127" s="16"/>
      <c r="AU127" s="16"/>
      <c r="AW127" s="25"/>
      <c r="AX127" s="25"/>
      <c r="AY127" s="25"/>
      <c r="AZ127" s="25"/>
      <c r="BA127" s="25"/>
      <c r="BB127" s="16"/>
      <c r="BE127" s="25"/>
      <c r="BG127" s="20"/>
      <c r="BH127" s="16"/>
      <c r="BR127" s="16"/>
      <c r="BS127" s="17"/>
      <c r="BT127" s="17"/>
      <c r="BW127" s="20"/>
      <c r="BX127" s="20"/>
      <c r="BY127" s="20"/>
      <c r="CG127" s="20"/>
      <c r="CO127" s="27"/>
      <c r="CP127" s="17"/>
      <c r="CQ127" s="17"/>
    </row>
    <row r="128" customFormat="false" ht="15.75" hidden="false" customHeight="false" outlineLevel="0" collapsed="false">
      <c r="A128" s="12"/>
      <c r="B128" s="12"/>
      <c r="C128" s="12"/>
      <c r="F128" s="20"/>
      <c r="G128" s="20"/>
      <c r="H128" s="20"/>
      <c r="I128" s="20"/>
      <c r="J128" s="20"/>
      <c r="K128" s="20"/>
      <c r="L128" s="20"/>
      <c r="N128" s="20"/>
      <c r="Q128" s="20"/>
      <c r="R128" s="20"/>
      <c r="S128" s="20"/>
      <c r="T128" s="20"/>
      <c r="U128" s="20"/>
      <c r="X128" s="20"/>
      <c r="AB128" s="20"/>
      <c r="AC128" s="20"/>
      <c r="AD128" s="16"/>
      <c r="AF128" s="17"/>
      <c r="AG128" s="25"/>
      <c r="AH128" s="25"/>
      <c r="AI128" s="26"/>
      <c r="AJ128" s="16"/>
      <c r="AK128" s="16"/>
      <c r="AL128" s="16"/>
      <c r="AM128" s="20"/>
      <c r="AN128" s="16"/>
      <c r="AO128" s="16"/>
      <c r="AQ128" s="16"/>
      <c r="AS128" s="16"/>
      <c r="AU128" s="16"/>
      <c r="AW128" s="25"/>
      <c r="AX128" s="25"/>
      <c r="AY128" s="25"/>
      <c r="AZ128" s="25"/>
      <c r="BA128" s="25"/>
      <c r="BB128" s="16"/>
      <c r="BE128" s="25"/>
      <c r="BG128" s="20"/>
      <c r="BH128" s="16"/>
      <c r="BR128" s="16"/>
      <c r="BS128" s="17"/>
      <c r="BT128" s="17"/>
      <c r="BW128" s="20"/>
      <c r="BX128" s="20"/>
      <c r="BY128" s="20"/>
      <c r="CG128" s="20"/>
      <c r="CO128" s="27"/>
      <c r="CP128" s="17"/>
      <c r="CQ128" s="17"/>
    </row>
    <row r="129" customFormat="false" ht="15.75" hidden="false" customHeight="false" outlineLevel="0" collapsed="false">
      <c r="A129" s="12"/>
      <c r="B129" s="12"/>
      <c r="C129" s="12"/>
      <c r="F129" s="20"/>
      <c r="G129" s="20"/>
      <c r="H129" s="20"/>
      <c r="I129" s="20"/>
      <c r="J129" s="20"/>
      <c r="K129" s="20"/>
      <c r="L129" s="20"/>
      <c r="N129" s="20"/>
      <c r="Q129" s="20"/>
      <c r="R129" s="20"/>
      <c r="S129" s="20"/>
      <c r="T129" s="20"/>
      <c r="U129" s="20"/>
      <c r="X129" s="20"/>
      <c r="AB129" s="20"/>
      <c r="AC129" s="20"/>
      <c r="AD129" s="16"/>
      <c r="AF129" s="17"/>
      <c r="AG129" s="25"/>
      <c r="AH129" s="25"/>
      <c r="AI129" s="26"/>
      <c r="AJ129" s="16"/>
      <c r="AK129" s="16"/>
      <c r="AL129" s="16"/>
      <c r="AM129" s="20"/>
      <c r="AN129" s="16"/>
      <c r="AO129" s="16"/>
      <c r="AQ129" s="16"/>
      <c r="AS129" s="16"/>
      <c r="AU129" s="16"/>
      <c r="AW129" s="25"/>
      <c r="AX129" s="25"/>
      <c r="AY129" s="25"/>
      <c r="AZ129" s="25"/>
      <c r="BA129" s="25"/>
      <c r="BB129" s="16"/>
      <c r="BE129" s="25"/>
      <c r="BG129" s="20"/>
      <c r="BH129" s="16"/>
      <c r="BR129" s="16"/>
      <c r="BS129" s="17"/>
      <c r="BT129" s="17"/>
      <c r="BW129" s="20"/>
      <c r="BX129" s="20"/>
      <c r="BY129" s="20"/>
      <c r="CG129" s="20"/>
      <c r="CO129" s="27"/>
      <c r="CP129" s="17"/>
      <c r="CQ129" s="17"/>
    </row>
    <row r="130" customFormat="false" ht="15.75" hidden="false" customHeight="false" outlineLevel="0" collapsed="false">
      <c r="A130" s="12"/>
      <c r="B130" s="12"/>
      <c r="C130" s="12"/>
      <c r="F130" s="20"/>
      <c r="G130" s="20"/>
      <c r="H130" s="20"/>
      <c r="I130" s="20"/>
      <c r="J130" s="20"/>
      <c r="K130" s="20"/>
      <c r="L130" s="20"/>
      <c r="N130" s="20"/>
      <c r="Q130" s="20"/>
      <c r="R130" s="20"/>
      <c r="S130" s="20"/>
      <c r="T130" s="20"/>
      <c r="U130" s="20"/>
      <c r="X130" s="20"/>
      <c r="AB130" s="20"/>
      <c r="AC130" s="20"/>
      <c r="AD130" s="16"/>
      <c r="AF130" s="17"/>
      <c r="AG130" s="25"/>
      <c r="AH130" s="25"/>
      <c r="AI130" s="26"/>
      <c r="AJ130" s="16"/>
      <c r="AK130" s="16"/>
      <c r="AL130" s="16"/>
      <c r="AM130" s="20"/>
      <c r="AN130" s="16"/>
      <c r="AO130" s="16"/>
      <c r="AQ130" s="16"/>
      <c r="AS130" s="16"/>
      <c r="AU130" s="16"/>
      <c r="AW130" s="25"/>
      <c r="AX130" s="25"/>
      <c r="AY130" s="25"/>
      <c r="AZ130" s="25"/>
      <c r="BA130" s="25"/>
      <c r="BB130" s="16"/>
      <c r="BE130" s="25"/>
      <c r="BG130" s="20"/>
      <c r="BH130" s="16"/>
      <c r="BR130" s="16"/>
      <c r="BS130" s="17"/>
      <c r="BT130" s="17"/>
      <c r="BW130" s="20"/>
      <c r="BX130" s="20"/>
      <c r="BY130" s="20"/>
      <c r="CG130" s="20"/>
      <c r="CO130" s="27"/>
      <c r="CP130" s="17"/>
      <c r="CQ130" s="17"/>
    </row>
    <row r="131" customFormat="false" ht="15.75" hidden="false" customHeight="false" outlineLevel="0" collapsed="false">
      <c r="A131" s="12"/>
      <c r="B131" s="12"/>
      <c r="C131" s="12"/>
      <c r="F131" s="20"/>
      <c r="G131" s="20"/>
      <c r="H131" s="20"/>
      <c r="I131" s="20"/>
      <c r="J131" s="20"/>
      <c r="K131" s="20"/>
      <c r="L131" s="20"/>
      <c r="N131" s="20"/>
      <c r="Q131" s="20"/>
      <c r="R131" s="20"/>
      <c r="S131" s="20"/>
      <c r="T131" s="20"/>
      <c r="U131" s="20"/>
      <c r="X131" s="20"/>
      <c r="AB131" s="20"/>
      <c r="AC131" s="20"/>
      <c r="AD131" s="16"/>
      <c r="AF131" s="17"/>
      <c r="AG131" s="25"/>
      <c r="AH131" s="25"/>
      <c r="AI131" s="26"/>
      <c r="AJ131" s="16"/>
      <c r="AK131" s="16"/>
      <c r="AL131" s="16"/>
      <c r="AM131" s="20"/>
      <c r="AN131" s="16"/>
      <c r="AO131" s="16"/>
      <c r="AQ131" s="16"/>
      <c r="AS131" s="16"/>
      <c r="AU131" s="16"/>
      <c r="AW131" s="25"/>
      <c r="AX131" s="25"/>
      <c r="AY131" s="25"/>
      <c r="AZ131" s="25"/>
      <c r="BA131" s="25"/>
      <c r="BB131" s="16"/>
      <c r="BE131" s="25"/>
      <c r="BG131" s="20"/>
      <c r="BH131" s="16"/>
      <c r="BR131" s="16"/>
      <c r="BS131" s="17"/>
      <c r="BT131" s="17"/>
      <c r="BW131" s="20"/>
      <c r="BX131" s="20"/>
      <c r="BY131" s="20"/>
      <c r="CG131" s="20"/>
      <c r="CO131" s="27"/>
      <c r="CP131" s="17"/>
      <c r="CQ131" s="17"/>
    </row>
    <row r="132" customFormat="false" ht="15.75" hidden="false" customHeight="false" outlineLevel="0" collapsed="false">
      <c r="A132" s="12"/>
      <c r="B132" s="12"/>
      <c r="C132" s="12"/>
      <c r="F132" s="20"/>
      <c r="G132" s="20"/>
      <c r="H132" s="20"/>
      <c r="I132" s="20"/>
      <c r="J132" s="20"/>
      <c r="K132" s="20"/>
      <c r="L132" s="20"/>
      <c r="N132" s="20"/>
      <c r="Q132" s="20"/>
      <c r="R132" s="20"/>
      <c r="S132" s="20"/>
      <c r="T132" s="20"/>
      <c r="U132" s="20"/>
      <c r="X132" s="20"/>
      <c r="AB132" s="20"/>
      <c r="AC132" s="20"/>
      <c r="AD132" s="16"/>
      <c r="AF132" s="17"/>
      <c r="AG132" s="25"/>
      <c r="AH132" s="25"/>
      <c r="AI132" s="26"/>
      <c r="AJ132" s="16"/>
      <c r="AK132" s="16"/>
      <c r="AL132" s="16"/>
      <c r="AM132" s="20"/>
      <c r="AN132" s="16"/>
      <c r="AO132" s="16"/>
      <c r="AQ132" s="16"/>
      <c r="AS132" s="16"/>
      <c r="AU132" s="16"/>
      <c r="AW132" s="25"/>
      <c r="AX132" s="25"/>
      <c r="AY132" s="25"/>
      <c r="AZ132" s="25"/>
      <c r="BA132" s="25"/>
      <c r="BB132" s="16"/>
      <c r="BE132" s="25"/>
      <c r="BG132" s="20"/>
      <c r="BH132" s="16"/>
      <c r="BR132" s="16"/>
      <c r="BS132" s="17"/>
      <c r="BT132" s="17"/>
      <c r="BW132" s="20"/>
      <c r="BX132" s="20"/>
      <c r="BY132" s="20"/>
      <c r="CG132" s="20"/>
      <c r="CO132" s="27"/>
      <c r="CP132" s="17"/>
      <c r="CQ132" s="17"/>
    </row>
    <row r="133" customFormat="false" ht="15.75" hidden="false" customHeight="false" outlineLevel="0" collapsed="false">
      <c r="A133" s="12"/>
      <c r="B133" s="12"/>
      <c r="C133" s="12"/>
      <c r="F133" s="20"/>
      <c r="G133" s="20"/>
      <c r="H133" s="20"/>
      <c r="I133" s="20"/>
      <c r="J133" s="20"/>
      <c r="K133" s="20"/>
      <c r="L133" s="20"/>
      <c r="N133" s="20"/>
      <c r="Q133" s="20"/>
      <c r="R133" s="20"/>
      <c r="S133" s="20"/>
      <c r="T133" s="20"/>
      <c r="U133" s="20"/>
      <c r="X133" s="20"/>
      <c r="AB133" s="20"/>
      <c r="AC133" s="20"/>
      <c r="AD133" s="16"/>
      <c r="AF133" s="17"/>
      <c r="AG133" s="25"/>
      <c r="AH133" s="25"/>
      <c r="AI133" s="26"/>
      <c r="AJ133" s="16"/>
      <c r="AK133" s="16"/>
      <c r="AL133" s="16"/>
      <c r="AM133" s="20"/>
      <c r="AN133" s="16"/>
      <c r="AO133" s="16"/>
      <c r="AQ133" s="16"/>
      <c r="AS133" s="16"/>
      <c r="AU133" s="16"/>
      <c r="AW133" s="25"/>
      <c r="AX133" s="25"/>
      <c r="AY133" s="25"/>
      <c r="AZ133" s="25"/>
      <c r="BA133" s="25"/>
      <c r="BB133" s="16"/>
      <c r="BE133" s="25"/>
      <c r="BG133" s="20"/>
      <c r="BH133" s="16"/>
      <c r="BR133" s="16"/>
      <c r="BS133" s="17"/>
      <c r="BT133" s="17"/>
      <c r="BW133" s="20"/>
      <c r="BX133" s="20"/>
      <c r="BY133" s="20"/>
      <c r="CG133" s="20"/>
      <c r="CO133" s="27"/>
      <c r="CP133" s="17"/>
      <c r="CQ133" s="17"/>
    </row>
    <row r="134" customFormat="false" ht="15.75" hidden="false" customHeight="false" outlineLevel="0" collapsed="false">
      <c r="A134" s="12"/>
      <c r="B134" s="12"/>
      <c r="C134" s="12"/>
      <c r="F134" s="20"/>
      <c r="G134" s="20"/>
      <c r="H134" s="20"/>
      <c r="I134" s="20"/>
      <c r="J134" s="20"/>
      <c r="K134" s="20"/>
      <c r="L134" s="20"/>
      <c r="N134" s="20"/>
      <c r="Q134" s="20"/>
      <c r="R134" s="20"/>
      <c r="S134" s="20"/>
      <c r="T134" s="20"/>
      <c r="U134" s="20"/>
      <c r="X134" s="20"/>
      <c r="AB134" s="20"/>
      <c r="AC134" s="20"/>
      <c r="AD134" s="16"/>
      <c r="AF134" s="17"/>
      <c r="AG134" s="25"/>
      <c r="AH134" s="25"/>
      <c r="AI134" s="26"/>
      <c r="AJ134" s="16"/>
      <c r="AK134" s="16"/>
      <c r="AL134" s="16"/>
      <c r="AM134" s="20"/>
      <c r="AN134" s="16"/>
      <c r="AO134" s="16"/>
      <c r="AQ134" s="16"/>
      <c r="AS134" s="16"/>
      <c r="AU134" s="16"/>
      <c r="AW134" s="25"/>
      <c r="AX134" s="25"/>
      <c r="AY134" s="25"/>
      <c r="AZ134" s="25"/>
      <c r="BA134" s="25"/>
      <c r="BB134" s="16"/>
      <c r="BE134" s="25"/>
      <c r="BG134" s="20"/>
      <c r="BH134" s="16"/>
      <c r="BR134" s="16"/>
      <c r="BS134" s="17"/>
      <c r="BT134" s="17"/>
      <c r="BW134" s="20"/>
      <c r="BX134" s="20"/>
      <c r="BY134" s="20"/>
      <c r="CG134" s="20"/>
      <c r="CO134" s="27"/>
      <c r="CP134" s="17"/>
      <c r="CQ134" s="17"/>
    </row>
    <row r="135" customFormat="false" ht="15.75" hidden="false" customHeight="false" outlineLevel="0" collapsed="false">
      <c r="A135" s="12"/>
      <c r="B135" s="12"/>
      <c r="C135" s="12"/>
      <c r="F135" s="20"/>
      <c r="G135" s="20"/>
      <c r="H135" s="20"/>
      <c r="I135" s="20"/>
      <c r="J135" s="20"/>
      <c r="K135" s="20"/>
      <c r="L135" s="20"/>
      <c r="N135" s="20"/>
      <c r="Q135" s="20"/>
      <c r="R135" s="20"/>
      <c r="S135" s="20"/>
      <c r="T135" s="20"/>
      <c r="U135" s="20"/>
      <c r="X135" s="20"/>
      <c r="AB135" s="20"/>
      <c r="AC135" s="20"/>
      <c r="AD135" s="16"/>
      <c r="AF135" s="17"/>
      <c r="AG135" s="25"/>
      <c r="AH135" s="25"/>
      <c r="AI135" s="26"/>
      <c r="AJ135" s="16"/>
      <c r="AK135" s="16"/>
      <c r="AL135" s="16"/>
      <c r="AM135" s="20"/>
      <c r="AN135" s="16"/>
      <c r="AO135" s="16"/>
      <c r="AQ135" s="16"/>
      <c r="AS135" s="16"/>
      <c r="AU135" s="16"/>
      <c r="AW135" s="25"/>
      <c r="AX135" s="25"/>
      <c r="AY135" s="25"/>
      <c r="AZ135" s="25"/>
      <c r="BA135" s="25"/>
      <c r="BB135" s="16"/>
      <c r="BE135" s="25"/>
      <c r="BG135" s="20"/>
      <c r="BH135" s="16"/>
      <c r="BR135" s="16"/>
      <c r="BS135" s="17"/>
      <c r="BT135" s="17"/>
      <c r="BW135" s="20"/>
      <c r="BX135" s="20"/>
      <c r="BY135" s="20"/>
      <c r="CG135" s="20"/>
      <c r="CO135" s="27"/>
      <c r="CP135" s="17"/>
      <c r="CQ135" s="17"/>
    </row>
    <row r="136" customFormat="false" ht="15.75" hidden="false" customHeight="false" outlineLevel="0" collapsed="false">
      <c r="A136" s="12"/>
      <c r="B136" s="12"/>
      <c r="C136" s="12"/>
      <c r="F136" s="20"/>
      <c r="G136" s="20"/>
      <c r="H136" s="20"/>
      <c r="I136" s="20"/>
      <c r="J136" s="20"/>
      <c r="K136" s="20"/>
      <c r="L136" s="20"/>
      <c r="N136" s="20"/>
      <c r="Q136" s="20"/>
      <c r="R136" s="20"/>
      <c r="S136" s="20"/>
      <c r="T136" s="20"/>
      <c r="U136" s="20"/>
      <c r="X136" s="20"/>
      <c r="AB136" s="20"/>
      <c r="AC136" s="20"/>
      <c r="AD136" s="16"/>
      <c r="AF136" s="17"/>
      <c r="AG136" s="25"/>
      <c r="AH136" s="25"/>
      <c r="AI136" s="26"/>
      <c r="AJ136" s="16"/>
      <c r="AK136" s="16"/>
      <c r="AL136" s="16"/>
      <c r="AM136" s="20"/>
      <c r="AN136" s="16"/>
      <c r="AO136" s="16"/>
      <c r="AQ136" s="16"/>
      <c r="AS136" s="16"/>
      <c r="AU136" s="16"/>
      <c r="AW136" s="25"/>
      <c r="AX136" s="25"/>
      <c r="AY136" s="25"/>
      <c r="AZ136" s="25"/>
      <c r="BA136" s="25"/>
      <c r="BB136" s="16"/>
      <c r="BE136" s="25"/>
      <c r="BG136" s="20"/>
      <c r="BH136" s="16"/>
      <c r="BR136" s="16"/>
      <c r="BS136" s="17"/>
      <c r="BT136" s="17"/>
      <c r="BW136" s="20"/>
      <c r="BX136" s="20"/>
      <c r="BY136" s="20"/>
      <c r="CG136" s="20"/>
      <c r="CO136" s="27"/>
      <c r="CP136" s="17"/>
      <c r="CQ136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cp:revision>0</cp:revision>
  <dc:subject/>
  <dc:title/>
</cp:coreProperties>
</file>